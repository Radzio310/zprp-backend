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dziulek\Downloads\"/>
    </mc:Choice>
  </mc:AlternateContent>
  <xr:revisionPtr revIDLastSave="0" documentId="13_ncr:1_{C11DB06F-25EA-40FB-95BF-AC0FB91B21A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ne" sheetId="1" r:id="rId1"/>
    <sheet name="Dashboard" sheetId="2" r:id="rId2"/>
    <sheet name="Listy" sheetId="5" r:id="rId3"/>
  </sheets>
  <definedNames>
    <definedName name="ListaSezonow">Listy!$A$2:$A$100</definedName>
    <definedName name="ListaWojewodztw">Listy!$B$2:$B$17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12" i="2"/>
  <c r="B9" i="2"/>
  <c r="B7" i="2"/>
  <c r="B8" i="2" s="1"/>
  <c r="C18" i="2" l="1"/>
  <c r="C15" i="2"/>
  <c r="C12" i="2"/>
  <c r="C16" i="2"/>
  <c r="C13" i="2"/>
  <c r="C17" i="2"/>
  <c r="C14" i="2"/>
</calcChain>
</file>

<file path=xl/sharedStrings.xml><?xml version="1.0" encoding="utf-8"?>
<sst xmlns="http://schemas.openxmlformats.org/spreadsheetml/2006/main" count="60" uniqueCount="50">
  <si>
    <t>Sezon</t>
  </si>
  <si>
    <t>Województwo</t>
  </si>
  <si>
    <t>ID</t>
  </si>
  <si>
    <t>Sędzia (Imię Nazwisko)</t>
  </si>
  <si>
    <t>Mecze</t>
  </si>
  <si>
    <t>Średni km</t>
  </si>
  <si>
    <t>Min km</t>
  </si>
  <si>
    <t>Max km</t>
  </si>
  <si>
    <t>2024/2025</t>
  </si>
  <si>
    <t>ŚLĄSKIE</t>
  </si>
  <si>
    <t>Sezon (filtr)</t>
  </si>
  <si>
    <t>Województwo (filtr)</t>
  </si>
  <si>
    <t>Podsumowanie (dla filtra)</t>
  </si>
  <si>
    <t>Łącznie meczów</t>
  </si>
  <si>
    <t>Średni km (ważony)</t>
  </si>
  <si>
    <t>Liczba sędziów</t>
  </si>
  <si>
    <t>Przedział</t>
  </si>
  <si>
    <t>Udział %</t>
  </si>
  <si>
    <t>0-15</t>
  </si>
  <si>
    <t>16-30</t>
  </si>
  <si>
    <t>31-45</t>
  </si>
  <si>
    <t>46-60</t>
  </si>
  <si>
    <t>61-80</t>
  </si>
  <si>
    <t>81-100</t>
  </si>
  <si>
    <t>&gt;100</t>
  </si>
  <si>
    <t>Jak czytać wykresy:</t>
  </si>
  <si>
    <t>• Słupki: ile meczów w każdym przedziale km (dla filtra z B1/B2).</t>
  </si>
  <si>
    <t>• Donut: udział % tych meczów w przedziałach (suma = 100%).</t>
  </si>
  <si>
    <t>Jeśli wszystko jest 0, to znaczy że w danych nie ma meczów dla wybranego filtra.</t>
  </si>
  <si>
    <t>Sezony</t>
  </si>
  <si>
    <t>Województwa</t>
  </si>
  <si>
    <t>DOLNOŚLĄSKIE</t>
  </si>
  <si>
    <t>2023/2024</t>
  </si>
  <si>
    <t>KUJAWSKO-POMORSKIE</t>
  </si>
  <si>
    <t>2022/2023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</si>
  <si>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</si>
  <si>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</si>
  <si>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</si>
  <si>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</si>
  <si>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</si>
  <si>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</si>
  <si>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</si>
  <si>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</si>
  <si>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</si>
  <si>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ŚWIĘTOKRZYSKIE</t>
  </si>
  <si>
    <t>WARMIŃSKO-MAZURSKIE</t>
  </si>
  <si>
    <t>WIELKOPOLSKIE</t>
  </si>
  <si>
    <t>ZACHODNIOPOMORSKIE</t>
  </si>
  <si>
    <t>FILTRY WYKRESÓW</t>
  </si>
  <si>
    <t>Data aktualizacji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</si>
</sst>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km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  <family val="2"/>
    </font>
    <font>
      <b/>
      <sz val="11"/>
      <color theme="8" tint="0.79998168889431442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9" tint="0.79998168889431442"/>
      <name val="Calibri"/>
      <family val="2"/>
      <charset val="238"/>
    </font>
    <font>
      <b/>
      <sz val="11"/>
      <color theme="9" tint="-0.249977111117893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8F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0" xfId="0" applyFont="1"/>
    <xf numFmtId="0" fontId="8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l-PL"/>
              <a:t>Mecze wg przedziału km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Mecze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</a:defRPr>
                </a:pPr>
                <a:endParaRPr lang="pl-PL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Dashboard!$A$12:$A$18</c:f>
              <c:strCache>
                <c:ptCount val="7"/>
                <c:pt idx="0">
                  <c:v>0-15</c:v>
                </c:pt>
                <c:pt idx="1">
                  <c:v>16-30</c:v>
                </c:pt>
                <c:pt idx="2">
                  <c:v>31-45</c:v>
                </c:pt>
                <c:pt idx="3">
                  <c:v>46-60</c:v>
                </c:pt>
                <c:pt idx="4">
                  <c:v>61-80</c:v>
                </c:pt>
                <c:pt idx="5">
                  <c:v>81-100</c:v>
                </c:pt>
                <c:pt idx="6">
                  <c:v>&gt;100</c:v>
                </c:pt>
              </c:strCache>
            </c:strRef>
          </c:cat>
          <c:val>
            <c:numRef>
              <c:f>Dashboard!$B$12:$B$18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0-4CC0-B1A4-49FD444781F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anchor="b" anchorCtr="1"/>
              <a:lstStyle/>
              <a:p>
                <a:pPr>
                  <a:defRPr/>
                </a:pPr>
                <a:r>
                  <a:rPr lang="pl-PL"/>
                  <a:t>Przedział km</a:t>
                </a:r>
              </a:p>
            </c:rich>
          </c:tx>
          <c:layout>
            <c:manualLayout>
              <c:xMode val="edge"/>
              <c:yMode val="edge"/>
              <c:x val="0.39236404320987656"/>
              <c:y val="0.94040000000000001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Liczba meczów</a:t>
                </a:r>
              </a:p>
            </c:rich>
          </c:tx>
          <c:layout>
            <c:manualLayout>
              <c:xMode val="edge"/>
              <c:yMode val="edge"/>
              <c:x val="0"/>
              <c:y val="0.3675907407407407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l-PL"/>
              <a:t>Udział % meczów wg przedziału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Udział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7.8395061728395062E-3"/>
                  <c:y val="-3.9197530864197531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E8-4F04-B70D-9334F549E87B}"/>
                </c:ext>
              </c:extLst>
            </c:dLbl>
            <c:dLbl>
              <c:idx val="1"/>
              <c:layout>
                <c:manualLayout>
                  <c:x val="-1.3719135802469137E-2"/>
                  <c:y val="-3.9197530864198251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E8-4F04-B70D-9334F549E87B}"/>
                </c:ext>
              </c:extLst>
            </c:dLbl>
            <c:dLbl>
              <c:idx val="2"/>
              <c:layout>
                <c:manualLayout>
                  <c:x val="-9.7993827160493836E-3"/>
                  <c:y val="-1.437226195394257E-16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E8-4F04-B70D-9334F549E87B}"/>
                </c:ext>
              </c:extLst>
            </c:dLbl>
            <c:dLbl>
              <c:idx val="3"/>
              <c:layout>
                <c:manualLayout>
                  <c:x val="-3.9197530864197886E-3"/>
                  <c:y val="-3.9197530864196811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E8-4F04-B70D-9334F549E87B}"/>
                </c:ext>
              </c:extLst>
            </c:dLbl>
            <c:dLbl>
              <c:idx val="4"/>
              <c:layout>
                <c:manualLayout>
                  <c:x val="-7.8395061728395062E-3"/>
                  <c:y val="0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E8-4F04-B70D-9334F549E87B}"/>
                </c:ext>
              </c:extLst>
            </c:dLbl>
            <c:dLbl>
              <c:idx val="5"/>
              <c:layout>
                <c:manualLayout>
                  <c:x val="-1.3719135802469137E-2"/>
                  <c:y val="-3.9197530864197531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E8-4F04-B70D-9334F549E87B}"/>
                </c:ext>
              </c:extLst>
            </c:dLbl>
            <c:dLbl>
              <c:idx val="6"/>
              <c:layout>
                <c:manualLayout>
                  <c:x val="-1.1759259259259259E-2"/>
                  <c:y val="-7.8395061728395235E-3"/>
                </c:manualLayout>
              </c:layout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E8-4F04-B70D-9334F549E87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Dashboard!$A$12:$A$18</c:f>
              <c:strCache>
                <c:ptCount val="7"/>
                <c:pt idx="0">
                  <c:v>0-15</c:v>
                </c:pt>
                <c:pt idx="1">
                  <c:v>16-30</c:v>
                </c:pt>
                <c:pt idx="2">
                  <c:v>31-45</c:v>
                </c:pt>
                <c:pt idx="3">
                  <c:v>46-60</c:v>
                </c:pt>
                <c:pt idx="4">
                  <c:v>61-80</c:v>
                </c:pt>
                <c:pt idx="5">
                  <c:v>81-100</c:v>
                </c:pt>
                <c:pt idx="6">
                  <c:v>&gt;100</c:v>
                </c:pt>
              </c:strCache>
            </c:strRef>
          </c:cat>
          <c:val>
            <c:numRef>
              <c:f>Dashboard!$C$12:$C$18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8-4F04-B70D-9334F549E87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579120</xdr:colOff>
      <xdr:row>1</xdr:row>
      <xdr:rowOff>106680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579120</xdr:colOff>
      <xdr:row>19</xdr:row>
      <xdr:rowOff>121920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ojazdow" displayName="TabelaDojazdow" ref="A1:P1000">
  <autoFilter ref="A1:P1000" xr:uid="{00000000-0009-0000-0100-000001000000}"/>
  <tableColumns count="16">
    <tableColumn id="1" xr3:uid="{00000000-0010-0000-0000-000001000000}" name="Sezon"/>
    <tableColumn id="2" xr3:uid="{00000000-0010-0000-0000-000002000000}" name="Województwo"/>
    <tableColumn id="3" xr3:uid="{00000000-0010-0000-0000-000003000000}" name="ID"/>
    <tableColumn id="4" xr3:uid="{00000000-0010-0000-0000-000004000000}" name="Sędzia (Imię Nazwisko)"/>
    <tableColumn id="5" xr3:uid="{00000000-0010-0000-0000-000005000000}" name="Mecze"/>
    <tableColumn id="6" xr3:uid="{00000000-0010-0000-0000-000006000000}" name="Średni km"/>
    <tableColumn id="7" xr3:uid="{00000000-0010-0000-0000-000007000000}" name="Min km"/>
    <tableColumn id="8" xr3:uid="{00000000-0010-0000-0000-000008000000}" name="Max km"/>
    <tableColumn id="9" xr3:uid="{00000000-0010-0000-0000-000009000000}" name="0-15"/>
    <tableColumn id="10" xr3:uid="{00000000-0010-0000-0000-00000A000000}" name="16-30"/>
    <tableColumn id="11" xr3:uid="{00000000-0010-0000-0000-00000B000000}" name="31-45"/>
    <tableColumn id="12" xr3:uid="{00000000-0010-0000-0000-00000C000000}" name="46-60"/>
    <tableColumn id="13" xr3:uid="{00000000-0010-0000-0000-00000D000000}" name="61-80"/>
    <tableColumn id="14" xr3:uid="{00000000-0010-0000-0000-00000E000000}" name="81-100"/>
    <tableColumn id="15" xr3:uid="{00000000-0010-0000-0000-00000F000000}" name="&gt;100"/>
    <tableColumn id="16" xr3:uid="{00000000-0010-0000-0000-000010000000}" name="Data aktualizacj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0" customWidth="1"/>
    <col min="2" max="2" width="16" customWidth="1"/>
    <col min="3" max="3" width="8" customWidth="1"/>
    <col min="4" max="4" width="28" customWidth="1"/>
    <col min="5" max="5" width="8" customWidth="1"/>
    <col min="6" max="6" width="10" customWidth="1"/>
    <col min="7" max="8" width="8" customWidth="1"/>
    <col min="9" max="15" width="10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18</v>
      </c>
      <c r="J1" s="16" t="s">
        <v>19</v>
      </c>
      <c r="K1" s="16" t="s">
        <v>20</v>
      </c>
      <c r="L1" s="16" t="s">
        <v>21</v>
      </c>
      <c r="M1" s="16" t="s">
        <v>22</v>
      </c>
      <c r="N1" s="16" t="s">
        <v>23</v>
      </c>
      <c r="O1" s="16" t="s">
        <v>24</v>
      </c>
      <c r="P1" s="16" t="s">
        <v>49</v>
      </c>
    </row>
    <row r="2" spans="1:16" x14ac:dyDescent="0.3">
      <c r="A2" s="2"/>
      <c r="B2" s="2"/>
      <c r="C2" s="2"/>
      <c r="D2" s="2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</row>
    <row r="3" spans="1:16" x14ac:dyDescent="0.3">
      <c r="A3" s="2"/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</row>
    <row r="4" spans="1:16" x14ac:dyDescent="0.3">
      <c r="A4" s="2"/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showGridLines="0" workbookViewId="0">
      <selection activeCell="D8" sqref="D8"/>
    </sheetView>
  </sheetViews>
  <sheetFormatPr defaultRowHeight="14.4" x14ac:dyDescent="0.3"/>
  <cols>
    <col min="1" max="1" width="24" customWidth="1"/>
    <col min="2" max="2" width="18" customWidth="1"/>
    <col min="3" max="3" width="12" customWidth="1"/>
  </cols>
  <sheetData>
    <row r="1" spans="1:3" x14ac:dyDescent="0.3">
      <c r="A1" s="17" t="s">
        <v>48</v>
      </c>
      <c r="B1" s="18"/>
    </row>
    <row r="2" spans="1:3" x14ac:dyDescent="0.3">
      <c r="A2" s="14" t="s">
        <v>10</v>
      </c>
      <c r="B2" s="15" t="s">
        <v>8</v>
      </c>
    </row>
    <row r="3" spans="1:3" x14ac:dyDescent="0.3">
      <c r="A3" s="14" t="s">
        <v>11</v>
      </c>
      <c r="B3" s="15" t="s">
        <v>9</v>
      </c>
    </row>
    <row r="5" spans="1:3" ht="15.6" x14ac:dyDescent="0.3">
      <c r="A5" s="5" t="s">
        <v>12</v>
      </c>
    </row>
    <row r="7" spans="1:3" x14ac:dyDescent="0.3">
      <c r="A7" s="12" t="s">
        <v>13</v>
      </c>
      <c r="B7" s="10">
        <f>SUMIFS(TabelaDojazdow[Mecze],TabelaDojazdow[Sezon],$B$2,TabelaDojazdow[Województwo],$B$3)</f>
        <v>0</v>
      </c>
    </row>
    <row r="8" spans="1:3" x14ac:dyDescent="0.3">
      <c r="A8" s="12" t="s">
        <v>14</v>
      </c>
      <c r="B8" s="11" t="str">
        <f>IF($B$7=0,"—",SUMPRODUCT((TabelaDojazdow[Średni km]*TabelaDojazdow[Mecze])*--(TabelaDojazdow[Sezon]=$B$2)*--(TabelaDojazdow[Województwo]=$B$3))/$B$7)</f>
        <v>—</v>
      </c>
    </row>
    <row r="9" spans="1:3" x14ac:dyDescent="0.3">
      <c r="A9" s="12" t="s">
        <v>15</v>
      </c>
      <c r="B9" s="10">
        <f>COUNTIFS(TabelaDojazdow[Sezon],$B$2,TabelaDojazdow[Województwo],$B$3)</f>
        <v>0</v>
      </c>
    </row>
    <row r="11" spans="1:3" x14ac:dyDescent="0.3">
      <c r="A11" s="6" t="s">
        <v>16</v>
      </c>
      <c r="B11" s="6" t="s">
        <v>4</v>
      </c>
      <c r="C11" s="6" t="s">
        <v>17</v>
      </c>
    </row>
    <row r="12" spans="1:3" x14ac:dyDescent="0.3">
      <c r="A12" s="7" t="s">
        <v>18</v>
      </c>
      <c r="B12" s="7">
        <f>SUMIFS(TabelaDojazdow[0-15],TabelaDojazdow[Sezon],$B$2,TabelaDojazdow[Województwo],$B$3)</f>
        <v>0</v>
      </c>
      <c r="C12" s="8">
        <f t="shared" ref="C12:C18" si="0">IF(SUM($B$12:$B$18)=0,0,B12/SUM($B$12:$B$18))</f>
        <v>0</v>
      </c>
    </row>
    <row r="13" spans="1:3" x14ac:dyDescent="0.3">
      <c r="A13" s="7" t="s">
        <v>19</v>
      </c>
      <c r="B13" s="7">
        <f>SUMIFS(TabelaDojazdow[16-30],TabelaDojazdow[Sezon],$B$2,TabelaDojazdow[Województwo],$B$3)</f>
        <v>0</v>
      </c>
      <c r="C13" s="8">
        <f t="shared" si="0"/>
        <v>0</v>
      </c>
    </row>
    <row r="14" spans="1:3" x14ac:dyDescent="0.3">
      <c r="A14" s="7" t="s">
        <v>20</v>
      </c>
      <c r="B14" s="7">
        <f>SUMIFS(TabelaDojazdow[31-45],TabelaDojazdow[Sezon],$B$2,TabelaDojazdow[Województwo],$B$3)</f>
        <v>0</v>
      </c>
      <c r="C14" s="8">
        <f t="shared" si="0"/>
        <v>0</v>
      </c>
    </row>
    <row r="15" spans="1:3" x14ac:dyDescent="0.3">
      <c r="A15" s="7" t="s">
        <v>21</v>
      </c>
      <c r="B15" s="7">
        <f>SUMIFS(TabelaDojazdow[46-60],TabelaDojazdow[Sezon],$B$2,TabelaDojazdow[Województwo],$B$3)</f>
        <v>0</v>
      </c>
      <c r="C15" s="8">
        <f t="shared" si="0"/>
        <v>0</v>
      </c>
    </row>
    <row r="16" spans="1:3" x14ac:dyDescent="0.3">
      <c r="A16" s="7" t="s">
        <v>22</v>
      </c>
      <c r="B16" s="7">
        <f>SUMIFS(TabelaDojazdow[61-80],TabelaDojazdow[Sezon],$B$2,TabelaDojazdow[Województwo],$B$3)</f>
        <v>0</v>
      </c>
      <c r="C16" s="8">
        <f t="shared" si="0"/>
        <v>0</v>
      </c>
    </row>
    <row r="17" spans="1:3" x14ac:dyDescent="0.3">
      <c r="A17" s="7" t="s">
        <v>23</v>
      </c>
      <c r="B17" s="7">
        <f>SUMIFS(TabelaDojazdow[81-100],TabelaDojazdow[Sezon],$B$2,TabelaDojazdow[Województwo],$B$3)</f>
        <v>0</v>
      </c>
      <c r="C17" s="8">
        <f t="shared" si="0"/>
        <v>0</v>
      </c>
    </row>
    <row r="18" spans="1:3" x14ac:dyDescent="0.3">
      <c r="A18" s="7" t="s">
        <v>24</v>
      </c>
      <c r="B18" s="7">
        <f>SUMIFS(TabelaDojazdow[&gt;100],TabelaDojazdow[Sezon],$B$2,TabelaDojazdow[Województwo],$B$3)</f>
        <v>0</v>
      </c>
      <c r="C18" s="8">
        <f t="shared" si="0"/>
        <v>0</v>
      </c>
    </row>
    <row r="21" spans="1:3" x14ac:dyDescent="0.3">
      <c r="A21" s="4" t="s">
        <v>25</v>
      </c>
    </row>
    <row r="22" spans="1:3" ht="43.2" x14ac:dyDescent="0.3">
      <c r="A22" s="9" t="s">
        <v>26</v>
      </c>
    </row>
    <row r="23" spans="1:3" ht="43.2" x14ac:dyDescent="0.3">
      <c r="A23" s="9" t="s">
        <v>27</v>
      </c>
    </row>
    <row r="24" spans="1:3" ht="57.6" x14ac:dyDescent="0.3">
      <c r="A24" s="9" t="s">
        <v>28</v>
      </c>
    </row>
  </sheetData>
  <mergeCells count="1">
    <mergeCell ref="A1:B1"/>
  </mergeCells>
  <dataValidations count="2">
    <dataValidation type="list" allowBlank="1" sqref="B2" xr:uid="{5470C872-49DE-4F3A-87A1-37A85C77F301}">
      <formula1>ListaSezonow</formula1>
    </dataValidation>
    <dataValidation type="list" allowBlank="1" sqref="B3" xr:uid="{00000000-0002-0000-0100-000001000000}">
      <formula1>ListaWojewodztw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E6BE-926B-4156-A2E0-9646DDB657F2}">
  <dimension ref="A1:B17"/>
  <sheetViews>
    <sheetView tabSelected="1" workbookViewId="0">
      <selection activeCell="P14" sqref="P14"/>
    </sheetView>
  </sheetViews>
  <sheetFormatPr defaultRowHeight="14.4" x14ac:dyDescent="0.3"/>
  <cols>
    <col min="1" max="1" width="13.88671875" customWidth="1"/>
    <col min="2" max="2" width="22.33203125" customWidth="1"/>
  </cols>
  <sheetData>
    <row r="1" spans="1:2" x14ac:dyDescent="0.3">
      <c r="A1" s="13" t="s">
        <v>29</v>
      </c>
      <c r="B1" s="13" t="s">
        <v>30</v>
      </c>
    </row>
    <row r="2" spans="1:2" x14ac:dyDescent="0.3">
      <c r="A2" t="s">
        <v>8</v>
      </c>
      <c r="B2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  <c r="B4" t="s">
        <v>35</v>
      </c>
    </row>
    <row r="5" spans="1:2" x14ac:dyDescent="0.3">
      <c r="B5" t="s">
        <v>36</v>
      </c>
    </row>
    <row r="6" spans="1:2" x14ac:dyDescent="0.3">
      <c r="B6" t="s">
        <v>37</v>
      </c>
    </row>
    <row r="7" spans="1:2" x14ac:dyDescent="0.3">
      <c r="B7" t="s">
        <v>38</v>
      </c>
    </row>
    <row r="8" spans="1:2" x14ac:dyDescent="0.3">
      <c r="B8" t="s">
        <v>39</v>
      </c>
    </row>
    <row r="9" spans="1:2" x14ac:dyDescent="0.3">
      <c r="B9" t="s">
        <v>40</v>
      </c>
    </row>
    <row r="10" spans="1:2" x14ac:dyDescent="0.3">
      <c r="B10" t="s">
        <v>41</v>
      </c>
    </row>
    <row r="11" spans="1:2" x14ac:dyDescent="0.3">
      <c r="B11" t="s">
        <v>42</v>
      </c>
    </row>
    <row r="12" spans="1:2" x14ac:dyDescent="0.3">
      <c r="B12" t="s">
        <v>43</v>
      </c>
    </row>
    <row r="13" spans="1:2" x14ac:dyDescent="0.3">
      <c r="B13" t="s">
        <v>9</v>
      </c>
    </row>
    <row r="14" spans="1:2" x14ac:dyDescent="0.3">
      <c r="B14" t="s">
        <v>44</v>
      </c>
    </row>
    <row r="15" spans="1:2" x14ac:dyDescent="0.3">
      <c r="B15" t="s">
        <v>45</v>
      </c>
    </row>
    <row r="16" spans="1:2" x14ac:dyDescent="0.3">
      <c r="B16" t="s">
        <v>46</v>
      </c>
    </row>
    <row r="17" spans="2:2" x14ac:dyDescent="0.3">
      <c r="B17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508760-1FB0-4226-BD12-39AEC9E33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Dane</vt:lpstr>
      <vt:lpstr>Dashboard</vt:lpstr>
      <vt:lpstr>Listy</vt:lpstr>
      <vt:lpstr>ListaSezonow</vt:lpstr>
      <vt:lpstr>ListaWojewodztw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Radosław Witkowicz</cp:lastModifiedBy>
  <dcterms:created xsi:type="dcterms:W3CDTF">2026-02-23T11:22:32Z</dcterms:created>
  <dcterms:modified xsi:type="dcterms:W3CDTF">2026-02-23T11:52:03Z</dcterms:modified>
</cp:coreProperties>
</file>