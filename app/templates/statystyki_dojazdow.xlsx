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Radziulek\Downloads\"/>
    </mc:Choice>
  </mc:AlternateContent>
  <xr:revisionPtr revIDLastSave="0" documentId="13_ncr:1_{C9206DB0-6F34-4C1A-B240-614B5974C8F4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Dane" sheetId="1" r:id="rId1"/>
    <sheet name="Dashboard" sheetId="2" r:id="rId2"/>
    <sheet name="Listy" sheetId="3" r:id="rId3"/>
  </sheets>
  <definedNames>
    <definedName name="ListaSezonow">Listy!$A$2:$A$100</definedName>
    <definedName name="ListaWojewodztw">Listy!$B$2:$B$17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8" i="2" l="1"/>
  <c r="B17" i="2"/>
  <c r="B16" i="2"/>
  <c r="B15" i="2"/>
  <c r="B14" i="2"/>
  <c r="B13" i="2"/>
  <c r="B12" i="2"/>
  <c r="C17" i="2" s="1"/>
  <c r="B10" i="2"/>
  <c r="B9" i="2"/>
  <c r="B7" i="2"/>
  <c r="B8" i="2" s="1"/>
  <c r="R1000" i="1"/>
  <c r="R999" i="1"/>
  <c r="R998" i="1"/>
  <c r="R997" i="1"/>
  <c r="R996" i="1"/>
  <c r="R995" i="1"/>
  <c r="R994" i="1"/>
  <c r="R993" i="1"/>
  <c r="R992" i="1"/>
  <c r="R991" i="1"/>
  <c r="R990" i="1"/>
  <c r="R989" i="1"/>
  <c r="R988" i="1"/>
  <c r="R987" i="1"/>
  <c r="R986" i="1"/>
  <c r="R985" i="1"/>
  <c r="R984" i="1"/>
  <c r="R983" i="1"/>
  <c r="R982" i="1"/>
  <c r="R981" i="1"/>
  <c r="R980" i="1"/>
  <c r="R979" i="1"/>
  <c r="R978" i="1"/>
  <c r="R977" i="1"/>
  <c r="R976" i="1"/>
  <c r="R975" i="1"/>
  <c r="R974" i="1"/>
  <c r="R973" i="1"/>
  <c r="R972" i="1"/>
  <c r="R971" i="1"/>
  <c r="R970" i="1"/>
  <c r="R969" i="1"/>
  <c r="R968" i="1"/>
  <c r="R967" i="1"/>
  <c r="R966" i="1"/>
  <c r="R965" i="1"/>
  <c r="R964" i="1"/>
  <c r="R963" i="1"/>
  <c r="R962" i="1"/>
  <c r="R961" i="1"/>
  <c r="R960" i="1"/>
  <c r="R959" i="1"/>
  <c r="R958" i="1"/>
  <c r="R957" i="1"/>
  <c r="R956" i="1"/>
  <c r="R955" i="1"/>
  <c r="R954" i="1"/>
  <c r="R953" i="1"/>
  <c r="R952" i="1"/>
  <c r="R951" i="1"/>
  <c r="R950" i="1"/>
  <c r="R949" i="1"/>
  <c r="R948" i="1"/>
  <c r="R947" i="1"/>
  <c r="R946" i="1"/>
  <c r="R945" i="1"/>
  <c r="R944" i="1"/>
  <c r="R943" i="1"/>
  <c r="R942" i="1"/>
  <c r="R941" i="1"/>
  <c r="R940" i="1"/>
  <c r="R939" i="1"/>
  <c r="R938" i="1"/>
  <c r="R937" i="1"/>
  <c r="R936" i="1"/>
  <c r="R935" i="1"/>
  <c r="R934" i="1"/>
  <c r="R933" i="1"/>
  <c r="R932" i="1"/>
  <c r="R931" i="1"/>
  <c r="R930" i="1"/>
  <c r="R929" i="1"/>
  <c r="R928" i="1"/>
  <c r="R927" i="1"/>
  <c r="R926" i="1"/>
  <c r="R925" i="1"/>
  <c r="R924" i="1"/>
  <c r="R923" i="1"/>
  <c r="R922" i="1"/>
  <c r="R921" i="1"/>
  <c r="R920" i="1"/>
  <c r="R919" i="1"/>
  <c r="R918" i="1"/>
  <c r="R917" i="1"/>
  <c r="R916" i="1"/>
  <c r="R915" i="1"/>
  <c r="R914" i="1"/>
  <c r="R913" i="1"/>
  <c r="R912" i="1"/>
  <c r="R911" i="1"/>
  <c r="R910" i="1"/>
  <c r="R909" i="1"/>
  <c r="R908" i="1"/>
  <c r="R907" i="1"/>
  <c r="R906" i="1"/>
  <c r="R905" i="1"/>
  <c r="R904" i="1"/>
  <c r="R903" i="1"/>
  <c r="R902" i="1"/>
  <c r="R901" i="1"/>
  <c r="R900" i="1"/>
  <c r="R899" i="1"/>
  <c r="R898" i="1"/>
  <c r="R897" i="1"/>
  <c r="R896" i="1"/>
  <c r="R895" i="1"/>
  <c r="R894" i="1"/>
  <c r="R893" i="1"/>
  <c r="R892" i="1"/>
  <c r="R891" i="1"/>
  <c r="R890" i="1"/>
  <c r="R889" i="1"/>
  <c r="R888" i="1"/>
  <c r="R887" i="1"/>
  <c r="R886" i="1"/>
  <c r="R885" i="1"/>
  <c r="R884" i="1"/>
  <c r="R883" i="1"/>
  <c r="R882" i="1"/>
  <c r="R881" i="1"/>
  <c r="R880" i="1"/>
  <c r="R879" i="1"/>
  <c r="R878" i="1"/>
  <c r="R877" i="1"/>
  <c r="R876" i="1"/>
  <c r="R875" i="1"/>
  <c r="R874" i="1"/>
  <c r="R873" i="1"/>
  <c r="R872" i="1"/>
  <c r="R871" i="1"/>
  <c r="R870" i="1"/>
  <c r="R869" i="1"/>
  <c r="R868" i="1"/>
  <c r="R867" i="1"/>
  <c r="R866" i="1"/>
  <c r="R865" i="1"/>
  <c r="R864" i="1"/>
  <c r="R863" i="1"/>
  <c r="R862" i="1"/>
  <c r="R861" i="1"/>
  <c r="R860" i="1"/>
  <c r="R859" i="1"/>
  <c r="R858" i="1"/>
  <c r="R857" i="1"/>
  <c r="R856" i="1"/>
  <c r="R855" i="1"/>
  <c r="R854" i="1"/>
  <c r="R853" i="1"/>
  <c r="R852" i="1"/>
  <c r="R851" i="1"/>
  <c r="R850" i="1"/>
  <c r="R849" i="1"/>
  <c r="R848" i="1"/>
  <c r="R847" i="1"/>
  <c r="R846" i="1"/>
  <c r="R845" i="1"/>
  <c r="R844" i="1"/>
  <c r="R843" i="1"/>
  <c r="R842" i="1"/>
  <c r="R841" i="1"/>
  <c r="R840" i="1"/>
  <c r="R839" i="1"/>
  <c r="R838" i="1"/>
  <c r="R837" i="1"/>
  <c r="R836" i="1"/>
  <c r="R835" i="1"/>
  <c r="R834" i="1"/>
  <c r="R833" i="1"/>
  <c r="R832" i="1"/>
  <c r="R831" i="1"/>
  <c r="R830" i="1"/>
  <c r="R829" i="1"/>
  <c r="R828" i="1"/>
  <c r="R827" i="1"/>
  <c r="R826" i="1"/>
  <c r="R825" i="1"/>
  <c r="R824" i="1"/>
  <c r="R823" i="1"/>
  <c r="R822" i="1"/>
  <c r="R821" i="1"/>
  <c r="R820" i="1"/>
  <c r="R819" i="1"/>
  <c r="R818" i="1"/>
  <c r="R817" i="1"/>
  <c r="R816" i="1"/>
  <c r="R815" i="1"/>
  <c r="R814" i="1"/>
  <c r="R813" i="1"/>
  <c r="R812" i="1"/>
  <c r="R811" i="1"/>
  <c r="R810" i="1"/>
  <c r="R809" i="1"/>
  <c r="R808" i="1"/>
  <c r="R807" i="1"/>
  <c r="R806" i="1"/>
  <c r="R805" i="1"/>
  <c r="R804" i="1"/>
  <c r="R803" i="1"/>
  <c r="R802" i="1"/>
  <c r="R801" i="1"/>
  <c r="R800" i="1"/>
  <c r="R799" i="1"/>
  <c r="R798" i="1"/>
  <c r="R797" i="1"/>
  <c r="R796" i="1"/>
  <c r="R795" i="1"/>
  <c r="R794" i="1"/>
  <c r="R793" i="1"/>
  <c r="R792" i="1"/>
  <c r="R791" i="1"/>
  <c r="R790" i="1"/>
  <c r="R789" i="1"/>
  <c r="R788" i="1"/>
  <c r="R787" i="1"/>
  <c r="R786" i="1"/>
  <c r="R785" i="1"/>
  <c r="R784" i="1"/>
  <c r="R783" i="1"/>
  <c r="R782" i="1"/>
  <c r="R781" i="1"/>
  <c r="R780" i="1"/>
  <c r="R779" i="1"/>
  <c r="R778" i="1"/>
  <c r="R777" i="1"/>
  <c r="R776" i="1"/>
  <c r="R775" i="1"/>
  <c r="R774" i="1"/>
  <c r="R773" i="1"/>
  <c r="R772" i="1"/>
  <c r="R771" i="1"/>
  <c r="R770" i="1"/>
  <c r="R769" i="1"/>
  <c r="R768" i="1"/>
  <c r="R767" i="1"/>
  <c r="R766" i="1"/>
  <c r="R765" i="1"/>
  <c r="R764" i="1"/>
  <c r="R763" i="1"/>
  <c r="R762" i="1"/>
  <c r="R761" i="1"/>
  <c r="R760" i="1"/>
  <c r="R759" i="1"/>
  <c r="R758" i="1"/>
  <c r="R757" i="1"/>
  <c r="R756" i="1"/>
  <c r="R755" i="1"/>
  <c r="R754" i="1"/>
  <c r="R753" i="1"/>
  <c r="R752" i="1"/>
  <c r="R751" i="1"/>
  <c r="R750" i="1"/>
  <c r="R749" i="1"/>
  <c r="R748" i="1"/>
  <c r="R747" i="1"/>
  <c r="R746" i="1"/>
  <c r="R745" i="1"/>
  <c r="R744" i="1"/>
  <c r="R743" i="1"/>
  <c r="R742" i="1"/>
  <c r="R741" i="1"/>
  <c r="R740" i="1"/>
  <c r="R739" i="1"/>
  <c r="R738" i="1"/>
  <c r="R737" i="1"/>
  <c r="R736" i="1"/>
  <c r="R735" i="1"/>
  <c r="R734" i="1"/>
  <c r="R733" i="1"/>
  <c r="R732" i="1"/>
  <c r="R731" i="1"/>
  <c r="R730" i="1"/>
  <c r="R729" i="1"/>
  <c r="R728" i="1"/>
  <c r="R727" i="1"/>
  <c r="R726" i="1"/>
  <c r="R725" i="1"/>
  <c r="R724" i="1"/>
  <c r="R723" i="1"/>
  <c r="R722" i="1"/>
  <c r="R721" i="1"/>
  <c r="R720" i="1"/>
  <c r="R719" i="1"/>
  <c r="R718" i="1"/>
  <c r="R717" i="1"/>
  <c r="R716" i="1"/>
  <c r="R715" i="1"/>
  <c r="R714" i="1"/>
  <c r="R713" i="1"/>
  <c r="R712" i="1"/>
  <c r="R711" i="1"/>
  <c r="R710" i="1"/>
  <c r="R709" i="1"/>
  <c r="R708" i="1"/>
  <c r="R707" i="1"/>
  <c r="R706" i="1"/>
  <c r="R705" i="1"/>
  <c r="R704" i="1"/>
  <c r="R703" i="1"/>
  <c r="R702" i="1"/>
  <c r="R701" i="1"/>
  <c r="R700" i="1"/>
  <c r="R699" i="1"/>
  <c r="R698" i="1"/>
  <c r="R697" i="1"/>
  <c r="R696" i="1"/>
  <c r="R695" i="1"/>
  <c r="R694" i="1"/>
  <c r="R693" i="1"/>
  <c r="R692" i="1"/>
  <c r="R691" i="1"/>
  <c r="R690" i="1"/>
  <c r="R689" i="1"/>
  <c r="R688" i="1"/>
  <c r="R687" i="1"/>
  <c r="R686" i="1"/>
  <c r="R685" i="1"/>
  <c r="R684" i="1"/>
  <c r="R683" i="1"/>
  <c r="R682" i="1"/>
  <c r="R681" i="1"/>
  <c r="R680" i="1"/>
  <c r="R679" i="1"/>
  <c r="R678" i="1"/>
  <c r="R677" i="1"/>
  <c r="R676" i="1"/>
  <c r="R675" i="1"/>
  <c r="R674" i="1"/>
  <c r="R673" i="1"/>
  <c r="R672" i="1"/>
  <c r="R671" i="1"/>
  <c r="R670" i="1"/>
  <c r="R669" i="1"/>
  <c r="R668" i="1"/>
  <c r="R667" i="1"/>
  <c r="R666" i="1"/>
  <c r="R665" i="1"/>
  <c r="R664" i="1"/>
  <c r="R663" i="1"/>
  <c r="R662" i="1"/>
  <c r="R661" i="1"/>
  <c r="R660" i="1"/>
  <c r="R659" i="1"/>
  <c r="R658" i="1"/>
  <c r="R657" i="1"/>
  <c r="R656" i="1"/>
  <c r="R655" i="1"/>
  <c r="R654" i="1"/>
  <c r="R653" i="1"/>
  <c r="R652" i="1"/>
  <c r="R651" i="1"/>
  <c r="R650" i="1"/>
  <c r="R649" i="1"/>
  <c r="R648" i="1"/>
  <c r="R647" i="1"/>
  <c r="R646" i="1"/>
  <c r="R645" i="1"/>
  <c r="R644" i="1"/>
  <c r="R643" i="1"/>
  <c r="R642" i="1"/>
  <c r="R641" i="1"/>
  <c r="R640" i="1"/>
  <c r="R639" i="1"/>
  <c r="R638" i="1"/>
  <c r="R637" i="1"/>
  <c r="R636" i="1"/>
  <c r="R635" i="1"/>
  <c r="R634" i="1"/>
  <c r="R633" i="1"/>
  <c r="R632" i="1"/>
  <c r="R631" i="1"/>
  <c r="R630" i="1"/>
  <c r="R629" i="1"/>
  <c r="R628" i="1"/>
  <c r="R627" i="1"/>
  <c r="R626" i="1"/>
  <c r="R625" i="1"/>
  <c r="R624" i="1"/>
  <c r="R623" i="1"/>
  <c r="R622" i="1"/>
  <c r="R621" i="1"/>
  <c r="R620" i="1"/>
  <c r="R619" i="1"/>
  <c r="R618" i="1"/>
  <c r="R617" i="1"/>
  <c r="R616" i="1"/>
  <c r="R615" i="1"/>
  <c r="R614" i="1"/>
  <c r="R613" i="1"/>
  <c r="R612" i="1"/>
  <c r="R611" i="1"/>
  <c r="R610" i="1"/>
  <c r="R609" i="1"/>
  <c r="R608" i="1"/>
  <c r="R607" i="1"/>
  <c r="R606" i="1"/>
  <c r="R605" i="1"/>
  <c r="R604" i="1"/>
  <c r="R603" i="1"/>
  <c r="R602" i="1"/>
  <c r="R601" i="1"/>
  <c r="R600" i="1"/>
  <c r="R599" i="1"/>
  <c r="R598" i="1"/>
  <c r="R597" i="1"/>
  <c r="R596" i="1"/>
  <c r="R595" i="1"/>
  <c r="R594" i="1"/>
  <c r="R593" i="1"/>
  <c r="R592" i="1"/>
  <c r="R591" i="1"/>
  <c r="R590" i="1"/>
  <c r="R589" i="1"/>
  <c r="R588" i="1"/>
  <c r="R587" i="1"/>
  <c r="R586" i="1"/>
  <c r="R585" i="1"/>
  <c r="R584" i="1"/>
  <c r="R583" i="1"/>
  <c r="R582" i="1"/>
  <c r="R581" i="1"/>
  <c r="R580" i="1"/>
  <c r="R579" i="1"/>
  <c r="R578" i="1"/>
  <c r="R577" i="1"/>
  <c r="R576" i="1"/>
  <c r="R575" i="1"/>
  <c r="R574" i="1"/>
  <c r="R573" i="1"/>
  <c r="R572" i="1"/>
  <c r="R571" i="1"/>
  <c r="R570" i="1"/>
  <c r="R569" i="1"/>
  <c r="R568" i="1"/>
  <c r="R567" i="1"/>
  <c r="R566" i="1"/>
  <c r="R565" i="1"/>
  <c r="R564" i="1"/>
  <c r="R563" i="1"/>
  <c r="R562" i="1"/>
  <c r="R561" i="1"/>
  <c r="R560" i="1"/>
  <c r="R559" i="1"/>
  <c r="R558" i="1"/>
  <c r="R557" i="1"/>
  <c r="R556" i="1"/>
  <c r="R555" i="1"/>
  <c r="R554" i="1"/>
  <c r="R553" i="1"/>
  <c r="R552" i="1"/>
  <c r="R551" i="1"/>
  <c r="R550" i="1"/>
  <c r="R549" i="1"/>
  <c r="R548" i="1"/>
  <c r="R547" i="1"/>
  <c r="R546" i="1"/>
  <c r="R545" i="1"/>
  <c r="R544" i="1"/>
  <c r="R543" i="1"/>
  <c r="R542" i="1"/>
  <c r="R541" i="1"/>
  <c r="R540" i="1"/>
  <c r="R539" i="1"/>
  <c r="R538" i="1"/>
  <c r="R537" i="1"/>
  <c r="R536" i="1"/>
  <c r="R535" i="1"/>
  <c r="R534" i="1"/>
  <c r="R533" i="1"/>
  <c r="R532" i="1"/>
  <c r="R531" i="1"/>
  <c r="R530" i="1"/>
  <c r="R529" i="1"/>
  <c r="R528" i="1"/>
  <c r="R527" i="1"/>
  <c r="R526" i="1"/>
  <c r="R525" i="1"/>
  <c r="R524" i="1"/>
  <c r="R523" i="1"/>
  <c r="R522" i="1"/>
  <c r="R521" i="1"/>
  <c r="R520" i="1"/>
  <c r="R519" i="1"/>
  <c r="R518" i="1"/>
  <c r="R517" i="1"/>
  <c r="R516" i="1"/>
  <c r="R515" i="1"/>
  <c r="R514" i="1"/>
  <c r="R513" i="1"/>
  <c r="R512" i="1"/>
  <c r="R511" i="1"/>
  <c r="R510" i="1"/>
  <c r="R509" i="1"/>
  <c r="R508" i="1"/>
  <c r="R507" i="1"/>
  <c r="R506" i="1"/>
  <c r="R505" i="1"/>
  <c r="R504" i="1"/>
  <c r="R503" i="1"/>
  <c r="R502" i="1"/>
  <c r="R501" i="1"/>
  <c r="R500" i="1"/>
  <c r="R499" i="1"/>
  <c r="R498" i="1"/>
  <c r="R497" i="1"/>
  <c r="R496" i="1"/>
  <c r="R495" i="1"/>
  <c r="R494" i="1"/>
  <c r="R493" i="1"/>
  <c r="R492" i="1"/>
  <c r="R491" i="1"/>
  <c r="R490" i="1"/>
  <c r="R489" i="1"/>
  <c r="R488" i="1"/>
  <c r="R487" i="1"/>
  <c r="R486" i="1"/>
  <c r="R485" i="1"/>
  <c r="R484" i="1"/>
  <c r="R483" i="1"/>
  <c r="R482" i="1"/>
  <c r="R481" i="1"/>
  <c r="R480" i="1"/>
  <c r="R479" i="1"/>
  <c r="R478" i="1"/>
  <c r="R477" i="1"/>
  <c r="R476" i="1"/>
  <c r="R475" i="1"/>
  <c r="R474" i="1"/>
  <c r="R473" i="1"/>
  <c r="R472" i="1"/>
  <c r="R471" i="1"/>
  <c r="R470" i="1"/>
  <c r="R469" i="1"/>
  <c r="R468" i="1"/>
  <c r="R467" i="1"/>
  <c r="R466" i="1"/>
  <c r="R465" i="1"/>
  <c r="R464" i="1"/>
  <c r="R463" i="1"/>
  <c r="R462" i="1"/>
  <c r="R461" i="1"/>
  <c r="R460" i="1"/>
  <c r="R459" i="1"/>
  <c r="R458" i="1"/>
  <c r="R457" i="1"/>
  <c r="R456" i="1"/>
  <c r="R455" i="1"/>
  <c r="R454" i="1"/>
  <c r="R453" i="1"/>
  <c r="R452" i="1"/>
  <c r="R451" i="1"/>
  <c r="R450" i="1"/>
  <c r="R449" i="1"/>
  <c r="R448" i="1"/>
  <c r="R447" i="1"/>
  <c r="R446" i="1"/>
  <c r="R445" i="1"/>
  <c r="R444" i="1"/>
  <c r="R443" i="1"/>
  <c r="R442" i="1"/>
  <c r="R441" i="1"/>
  <c r="R440" i="1"/>
  <c r="R439" i="1"/>
  <c r="R438" i="1"/>
  <c r="R437" i="1"/>
  <c r="R436" i="1"/>
  <c r="R435" i="1"/>
  <c r="R434" i="1"/>
  <c r="R433" i="1"/>
  <c r="R432" i="1"/>
  <c r="R431" i="1"/>
  <c r="R430" i="1"/>
  <c r="R429" i="1"/>
  <c r="R428" i="1"/>
  <c r="R427" i="1"/>
  <c r="R426" i="1"/>
  <c r="R425" i="1"/>
  <c r="R424" i="1"/>
  <c r="R423" i="1"/>
  <c r="R422" i="1"/>
  <c r="R421" i="1"/>
  <c r="R420" i="1"/>
  <c r="R419" i="1"/>
  <c r="R418" i="1"/>
  <c r="R417" i="1"/>
  <c r="R416" i="1"/>
  <c r="R415" i="1"/>
  <c r="R414" i="1"/>
  <c r="R413" i="1"/>
  <c r="R412" i="1"/>
  <c r="R411" i="1"/>
  <c r="R410" i="1"/>
  <c r="R409" i="1"/>
  <c r="R408" i="1"/>
  <c r="R407" i="1"/>
  <c r="R406" i="1"/>
  <c r="R405" i="1"/>
  <c r="R404" i="1"/>
  <c r="R403" i="1"/>
  <c r="R402" i="1"/>
  <c r="R401" i="1"/>
  <c r="R400" i="1"/>
  <c r="R399" i="1"/>
  <c r="R398" i="1"/>
  <c r="R397" i="1"/>
  <c r="R396" i="1"/>
  <c r="R395" i="1"/>
  <c r="R394" i="1"/>
  <c r="R393" i="1"/>
  <c r="R392" i="1"/>
  <c r="R391" i="1"/>
  <c r="R390" i="1"/>
  <c r="R389" i="1"/>
  <c r="R388" i="1"/>
  <c r="R387" i="1"/>
  <c r="R386" i="1"/>
  <c r="R385" i="1"/>
  <c r="R384" i="1"/>
  <c r="R383" i="1"/>
  <c r="R382" i="1"/>
  <c r="R381" i="1"/>
  <c r="R380" i="1"/>
  <c r="R379" i="1"/>
  <c r="R378" i="1"/>
  <c r="R377" i="1"/>
  <c r="R376" i="1"/>
  <c r="R375" i="1"/>
  <c r="R374" i="1"/>
  <c r="R373" i="1"/>
  <c r="R372" i="1"/>
  <c r="R371" i="1"/>
  <c r="R370" i="1"/>
  <c r="R369" i="1"/>
  <c r="R368" i="1"/>
  <c r="R367" i="1"/>
  <c r="R366" i="1"/>
  <c r="R365" i="1"/>
  <c r="R364" i="1"/>
  <c r="R363" i="1"/>
  <c r="R362" i="1"/>
  <c r="R361" i="1"/>
  <c r="R360" i="1"/>
  <c r="R359" i="1"/>
  <c r="R358" i="1"/>
  <c r="R357" i="1"/>
  <c r="R356" i="1"/>
  <c r="R355" i="1"/>
  <c r="R354" i="1"/>
  <c r="R353" i="1"/>
  <c r="R352" i="1"/>
  <c r="R351" i="1"/>
  <c r="R350" i="1"/>
  <c r="R349" i="1"/>
  <c r="R348" i="1"/>
  <c r="R347" i="1"/>
  <c r="R346" i="1"/>
  <c r="R345" i="1"/>
  <c r="R344" i="1"/>
  <c r="R343" i="1"/>
  <c r="R342" i="1"/>
  <c r="R341" i="1"/>
  <c r="R340" i="1"/>
  <c r="R339" i="1"/>
  <c r="R338" i="1"/>
  <c r="R337" i="1"/>
  <c r="R336" i="1"/>
  <c r="R335" i="1"/>
  <c r="R334" i="1"/>
  <c r="R333" i="1"/>
  <c r="R332" i="1"/>
  <c r="R331" i="1"/>
  <c r="R330" i="1"/>
  <c r="R329" i="1"/>
  <c r="R328" i="1"/>
  <c r="R327" i="1"/>
  <c r="R326" i="1"/>
  <c r="R325" i="1"/>
  <c r="R324" i="1"/>
  <c r="R323" i="1"/>
  <c r="R322" i="1"/>
  <c r="R321" i="1"/>
  <c r="R320" i="1"/>
  <c r="R319" i="1"/>
  <c r="R318" i="1"/>
  <c r="R317" i="1"/>
  <c r="R316" i="1"/>
  <c r="R315" i="1"/>
  <c r="R314" i="1"/>
  <c r="R313" i="1"/>
  <c r="R312" i="1"/>
  <c r="R311" i="1"/>
  <c r="R310" i="1"/>
  <c r="R309" i="1"/>
  <c r="R308" i="1"/>
  <c r="R307" i="1"/>
  <c r="R306" i="1"/>
  <c r="R305" i="1"/>
  <c r="R304" i="1"/>
  <c r="R303" i="1"/>
  <c r="R302" i="1"/>
  <c r="R301" i="1"/>
  <c r="R300" i="1"/>
  <c r="R299" i="1"/>
  <c r="R298" i="1"/>
  <c r="R297" i="1"/>
  <c r="R296" i="1"/>
  <c r="R295" i="1"/>
  <c r="R294" i="1"/>
  <c r="R293" i="1"/>
  <c r="R292" i="1"/>
  <c r="R291" i="1"/>
  <c r="R290" i="1"/>
  <c r="R289" i="1"/>
  <c r="R288" i="1"/>
  <c r="R287" i="1"/>
  <c r="R286" i="1"/>
  <c r="R285" i="1"/>
  <c r="R284" i="1"/>
  <c r="R283" i="1"/>
  <c r="R282" i="1"/>
  <c r="R281" i="1"/>
  <c r="R280" i="1"/>
  <c r="R279" i="1"/>
  <c r="R278" i="1"/>
  <c r="R277" i="1"/>
  <c r="R276" i="1"/>
  <c r="R275" i="1"/>
  <c r="R274" i="1"/>
  <c r="R273" i="1"/>
  <c r="R272" i="1"/>
  <c r="R271" i="1"/>
  <c r="R270" i="1"/>
  <c r="R269" i="1"/>
  <c r="R268" i="1"/>
  <c r="R267" i="1"/>
  <c r="R266" i="1"/>
  <c r="R265" i="1"/>
  <c r="R264" i="1"/>
  <c r="R263" i="1"/>
  <c r="R262" i="1"/>
  <c r="R261" i="1"/>
  <c r="R260" i="1"/>
  <c r="R259" i="1"/>
  <c r="R258" i="1"/>
  <c r="R257" i="1"/>
  <c r="R256" i="1"/>
  <c r="R255" i="1"/>
  <c r="R254" i="1"/>
  <c r="R253" i="1"/>
  <c r="R252" i="1"/>
  <c r="R251" i="1"/>
  <c r="R250" i="1"/>
  <c r="R249" i="1"/>
  <c r="R248" i="1"/>
  <c r="R247" i="1"/>
  <c r="R246" i="1"/>
  <c r="R245" i="1"/>
  <c r="R244" i="1"/>
  <c r="R243" i="1"/>
  <c r="R242" i="1"/>
  <c r="R241" i="1"/>
  <c r="R240" i="1"/>
  <c r="R239" i="1"/>
  <c r="R238" i="1"/>
  <c r="R237" i="1"/>
  <c r="R236" i="1"/>
  <c r="R235" i="1"/>
  <c r="R234" i="1"/>
  <c r="R233" i="1"/>
  <c r="R232" i="1"/>
  <c r="R231" i="1"/>
  <c r="R230" i="1"/>
  <c r="R229" i="1"/>
  <c r="R228" i="1"/>
  <c r="R227" i="1"/>
  <c r="R226" i="1"/>
  <c r="R225" i="1"/>
  <c r="R224" i="1"/>
  <c r="R223" i="1"/>
  <c r="R222" i="1"/>
  <c r="R221" i="1"/>
  <c r="R220" i="1"/>
  <c r="R219" i="1"/>
  <c r="R218" i="1"/>
  <c r="R217" i="1"/>
  <c r="R216" i="1"/>
  <c r="R215" i="1"/>
  <c r="R214" i="1"/>
  <c r="R213" i="1"/>
  <c r="R212" i="1"/>
  <c r="R211" i="1"/>
  <c r="R210" i="1"/>
  <c r="R209" i="1"/>
  <c r="R208" i="1"/>
  <c r="R207" i="1"/>
  <c r="R206" i="1"/>
  <c r="R205" i="1"/>
  <c r="R204" i="1"/>
  <c r="R203" i="1"/>
  <c r="R202" i="1"/>
  <c r="R201" i="1"/>
  <c r="R200" i="1"/>
  <c r="R199" i="1"/>
  <c r="R198" i="1"/>
  <c r="R197" i="1"/>
  <c r="R196" i="1"/>
  <c r="R195" i="1"/>
  <c r="R194" i="1"/>
  <c r="R193" i="1"/>
  <c r="R192" i="1"/>
  <c r="R191" i="1"/>
  <c r="R190" i="1"/>
  <c r="R189" i="1"/>
  <c r="R188" i="1"/>
  <c r="R187" i="1"/>
  <c r="R186" i="1"/>
  <c r="R185" i="1"/>
  <c r="R184" i="1"/>
  <c r="R183" i="1"/>
  <c r="R182" i="1"/>
  <c r="R181" i="1"/>
  <c r="R180" i="1"/>
  <c r="R179" i="1"/>
  <c r="R178" i="1"/>
  <c r="R177" i="1"/>
  <c r="R176" i="1"/>
  <c r="R175" i="1"/>
  <c r="R174" i="1"/>
  <c r="R173" i="1"/>
  <c r="R172" i="1"/>
  <c r="R171" i="1"/>
  <c r="R170" i="1"/>
  <c r="R169" i="1"/>
  <c r="R168" i="1"/>
  <c r="R167" i="1"/>
  <c r="R166" i="1"/>
  <c r="R165" i="1"/>
  <c r="R164" i="1"/>
  <c r="R163" i="1"/>
  <c r="R162" i="1"/>
  <c r="R161" i="1"/>
  <c r="R160" i="1"/>
  <c r="R159" i="1"/>
  <c r="R158" i="1"/>
  <c r="R157" i="1"/>
  <c r="R156" i="1"/>
  <c r="R155" i="1"/>
  <c r="R154" i="1"/>
  <c r="R153" i="1"/>
  <c r="R152" i="1"/>
  <c r="R151" i="1"/>
  <c r="R150" i="1"/>
  <c r="R149" i="1"/>
  <c r="R148" i="1"/>
  <c r="R147" i="1"/>
  <c r="R146" i="1"/>
  <c r="R145" i="1"/>
  <c r="R144" i="1"/>
  <c r="R143" i="1"/>
  <c r="R142" i="1"/>
  <c r="R141" i="1"/>
  <c r="R140" i="1"/>
  <c r="R139" i="1"/>
  <c r="R138" i="1"/>
  <c r="R137" i="1"/>
  <c r="R136" i="1"/>
  <c r="R135" i="1"/>
  <c r="R134" i="1"/>
  <c r="R133" i="1"/>
  <c r="R132" i="1"/>
  <c r="R131" i="1"/>
  <c r="R130" i="1"/>
  <c r="R129" i="1"/>
  <c r="R128" i="1"/>
  <c r="R127" i="1"/>
  <c r="R126" i="1"/>
  <c r="R125" i="1"/>
  <c r="R124" i="1"/>
  <c r="R123" i="1"/>
  <c r="R122" i="1"/>
  <c r="R121" i="1"/>
  <c r="R120" i="1"/>
  <c r="R119" i="1"/>
  <c r="R118" i="1"/>
  <c r="R117" i="1"/>
  <c r="R116" i="1"/>
  <c r="R115" i="1"/>
  <c r="R114" i="1"/>
  <c r="R113" i="1"/>
  <c r="R112" i="1"/>
  <c r="R111" i="1"/>
  <c r="R110" i="1"/>
  <c r="R109" i="1"/>
  <c r="R108" i="1"/>
  <c r="R107" i="1"/>
  <c r="R106" i="1"/>
  <c r="R105" i="1"/>
  <c r="R104" i="1"/>
  <c r="R103" i="1"/>
  <c r="R102" i="1"/>
  <c r="R101" i="1"/>
  <c r="R100" i="1"/>
  <c r="R99" i="1"/>
  <c r="R98" i="1"/>
  <c r="R97" i="1"/>
  <c r="R96" i="1"/>
  <c r="R95" i="1"/>
  <c r="R94" i="1"/>
  <c r="R93" i="1"/>
  <c r="R92" i="1"/>
  <c r="R91" i="1"/>
  <c r="R90" i="1"/>
  <c r="R89" i="1"/>
  <c r="R88" i="1"/>
  <c r="R87" i="1"/>
  <c r="R86" i="1"/>
  <c r="R85" i="1"/>
  <c r="R84" i="1"/>
  <c r="R83" i="1"/>
  <c r="R82" i="1"/>
  <c r="R81" i="1"/>
  <c r="R80" i="1"/>
  <c r="R79" i="1"/>
  <c r="R78" i="1"/>
  <c r="R77" i="1"/>
  <c r="R76" i="1"/>
  <c r="C76" i="2" s="1"/>
  <c r="R75" i="1"/>
  <c r="C75" i="2" s="1"/>
  <c r="R74" i="1"/>
  <c r="C74" i="2" s="1"/>
  <c r="R73" i="1"/>
  <c r="C73" i="2" s="1"/>
  <c r="R72" i="1"/>
  <c r="C72" i="2" s="1"/>
  <c r="R71" i="1"/>
  <c r="C71" i="2" s="1"/>
  <c r="R70" i="1"/>
  <c r="C70" i="2" s="1"/>
  <c r="R69" i="1"/>
  <c r="C69" i="2" s="1"/>
  <c r="R68" i="1"/>
  <c r="C68" i="2" s="1"/>
  <c r="R67" i="1"/>
  <c r="C67" i="2" s="1"/>
  <c r="R66" i="1"/>
  <c r="C66" i="2" s="1"/>
  <c r="R65" i="1"/>
  <c r="C65" i="2" s="1"/>
  <c r="R64" i="1"/>
  <c r="C64" i="2" s="1"/>
  <c r="R63" i="1"/>
  <c r="C63" i="2" s="1"/>
  <c r="R62" i="1"/>
  <c r="C62" i="2" s="1"/>
  <c r="R61" i="1"/>
  <c r="C61" i="2" s="1"/>
  <c r="R60" i="1"/>
  <c r="C60" i="2" s="1"/>
  <c r="R59" i="1"/>
  <c r="C59" i="2" s="1"/>
  <c r="R58" i="1"/>
  <c r="C58" i="2" s="1"/>
  <c r="R57" i="1"/>
  <c r="C57" i="2" s="1"/>
  <c r="R56" i="1"/>
  <c r="C56" i="2" s="1"/>
  <c r="R55" i="1"/>
  <c r="C55" i="2" s="1"/>
  <c r="R54" i="1"/>
  <c r="C54" i="2" s="1"/>
  <c r="R53" i="1"/>
  <c r="C53" i="2" s="1"/>
  <c r="R52" i="1"/>
  <c r="C52" i="2" s="1"/>
  <c r="R51" i="1"/>
  <c r="C51" i="2" s="1"/>
  <c r="R50" i="1"/>
  <c r="C50" i="2" s="1"/>
  <c r="R49" i="1"/>
  <c r="C49" i="2" s="1"/>
  <c r="R48" i="1"/>
  <c r="C48" i="2" s="1"/>
  <c r="R47" i="1"/>
  <c r="C47" i="2" s="1"/>
  <c r="R46" i="1"/>
  <c r="C46" i="2" s="1"/>
  <c r="R45" i="1"/>
  <c r="C45" i="2" s="1"/>
  <c r="R44" i="1"/>
  <c r="C44" i="2" s="1"/>
  <c r="R43" i="1"/>
  <c r="C43" i="2" s="1"/>
  <c r="R42" i="1"/>
  <c r="C42" i="2" s="1"/>
  <c r="R41" i="1"/>
  <c r="C41" i="2" s="1"/>
  <c r="R40" i="1"/>
  <c r="C40" i="2" s="1"/>
  <c r="R39" i="1"/>
  <c r="C39" i="2" s="1"/>
  <c r="R38" i="1"/>
  <c r="C38" i="2" s="1"/>
  <c r="R37" i="1"/>
  <c r="C37" i="2" s="1"/>
  <c r="R36" i="1"/>
  <c r="C36" i="2" s="1"/>
  <c r="R35" i="1"/>
  <c r="C35" i="2" s="1"/>
  <c r="R34" i="1"/>
  <c r="C34" i="2" s="1"/>
  <c r="R33" i="1"/>
  <c r="C33" i="2" s="1"/>
  <c r="R32" i="1"/>
  <c r="C32" i="2" s="1"/>
  <c r="R31" i="1"/>
  <c r="C31" i="2" s="1"/>
  <c r="R30" i="1"/>
  <c r="C30" i="2" s="1"/>
  <c r="R29" i="1"/>
  <c r="C29" i="2" s="1"/>
  <c r="R28" i="1"/>
  <c r="C28" i="2" s="1"/>
  <c r="R27" i="1"/>
  <c r="C27" i="2" s="1"/>
  <c r="R26" i="1"/>
  <c r="R25" i="1"/>
  <c r="R24" i="1"/>
  <c r="R23" i="1"/>
  <c r="R22" i="1"/>
  <c r="R21" i="1"/>
  <c r="R20" i="1"/>
  <c r="R19" i="1"/>
  <c r="R18" i="1"/>
  <c r="R17" i="1"/>
  <c r="R16" i="1"/>
  <c r="R15" i="1"/>
  <c r="R14" i="1"/>
  <c r="R13" i="1"/>
  <c r="R12" i="1"/>
  <c r="R11" i="1"/>
  <c r="R10" i="1"/>
  <c r="R9" i="1"/>
  <c r="R8" i="1"/>
  <c r="R7" i="1"/>
  <c r="R6" i="1"/>
  <c r="R5" i="1"/>
  <c r="R4" i="1"/>
  <c r="R3" i="1"/>
  <c r="R2" i="1"/>
  <c r="B35" i="2" l="1"/>
  <c r="A35" i="2"/>
  <c r="B43" i="2"/>
  <c r="A43" i="2"/>
  <c r="B51" i="2"/>
  <c r="A51" i="2"/>
  <c r="B59" i="2"/>
  <c r="A59" i="2"/>
  <c r="B67" i="2"/>
  <c r="A67" i="2"/>
  <c r="B75" i="2"/>
  <c r="A75" i="2"/>
  <c r="B28" i="2"/>
  <c r="A28" i="2"/>
  <c r="B36" i="2"/>
  <c r="A36" i="2"/>
  <c r="B44" i="2"/>
  <c r="A44" i="2"/>
  <c r="B52" i="2"/>
  <c r="A52" i="2"/>
  <c r="B60" i="2"/>
  <c r="A60" i="2"/>
  <c r="B68" i="2"/>
  <c r="A68" i="2"/>
  <c r="B76" i="2"/>
  <c r="A76" i="2"/>
  <c r="B29" i="2"/>
  <c r="A29" i="2"/>
  <c r="B37" i="2"/>
  <c r="A37" i="2"/>
  <c r="B45" i="2"/>
  <c r="A45" i="2"/>
  <c r="B53" i="2"/>
  <c r="A53" i="2"/>
  <c r="B61" i="2"/>
  <c r="A61" i="2"/>
  <c r="B69" i="2"/>
  <c r="A69" i="2"/>
  <c r="B30" i="2"/>
  <c r="A30" i="2"/>
  <c r="B38" i="2"/>
  <c r="A38" i="2"/>
  <c r="B46" i="2"/>
  <c r="A46" i="2"/>
  <c r="B54" i="2"/>
  <c r="A54" i="2"/>
  <c r="B62" i="2"/>
  <c r="A62" i="2"/>
  <c r="B70" i="2"/>
  <c r="A70" i="2"/>
  <c r="B31" i="2"/>
  <c r="A31" i="2"/>
  <c r="B39" i="2"/>
  <c r="A39" i="2"/>
  <c r="B47" i="2"/>
  <c r="A47" i="2"/>
  <c r="B55" i="2"/>
  <c r="A55" i="2"/>
  <c r="B63" i="2"/>
  <c r="A63" i="2"/>
  <c r="B71" i="2"/>
  <c r="A71" i="2"/>
  <c r="B27" i="2"/>
  <c r="A27" i="2"/>
  <c r="B32" i="2"/>
  <c r="A32" i="2"/>
  <c r="B40" i="2"/>
  <c r="A40" i="2"/>
  <c r="B48" i="2"/>
  <c r="A48" i="2"/>
  <c r="B56" i="2"/>
  <c r="A56" i="2"/>
  <c r="B64" i="2"/>
  <c r="A64" i="2"/>
  <c r="B72" i="2"/>
  <c r="A72" i="2"/>
  <c r="B33" i="2"/>
  <c r="A33" i="2"/>
  <c r="B41" i="2"/>
  <c r="A41" i="2"/>
  <c r="B49" i="2"/>
  <c r="A49" i="2"/>
  <c r="B57" i="2"/>
  <c r="A57" i="2"/>
  <c r="B65" i="2"/>
  <c r="A65" i="2"/>
  <c r="B73" i="2"/>
  <c r="A73" i="2"/>
  <c r="A34" i="2"/>
  <c r="B34" i="2"/>
  <c r="A42" i="2"/>
  <c r="B42" i="2"/>
  <c r="A50" i="2"/>
  <c r="B50" i="2"/>
  <c r="A58" i="2"/>
  <c r="B58" i="2"/>
  <c r="A66" i="2"/>
  <c r="B66" i="2"/>
  <c r="A74" i="2"/>
  <c r="B74" i="2"/>
  <c r="C14" i="2"/>
  <c r="C18" i="2"/>
  <c r="C15" i="2"/>
  <c r="C12" i="2"/>
  <c r="C16" i="2"/>
  <c r="C13" i="2"/>
</calcChain>
</file>

<file path=xl/sharedStrings.xml><?xml version="1.0" encoding="utf-8"?>
<sst xmlns="http://schemas.openxmlformats.org/spreadsheetml/2006/main" count="66" uniqueCount="53">
  <si>
    <t>Sezony</t>
  </si>
  <si>
    <t>Województwa</t>
  </si>
  <si>
    <t>2024/2025</t>
  </si>
  <si>
    <t>DOLNOŚLĄSKIE</t>
  </si>
  <si>
    <t>2023/2024</t>
  </si>
  <si>
    <t>KUJAWSKO-POMORSKIE</t>
  </si>
  <si>
    <t>2022/2023</t>
  </si>
  <si>
    <t>LUBELSKIE</t>
  </si>
  <si>
    <t>LUBUSKIE</t>
  </si>
  <si>
    <t>ŁÓDZKIE</t>
  </si>
  <si>
    <t>MAŁOPOLSKIE</t>
  </si>
  <si>
    <t>MAZOWIECKIE</t>
  </si>
  <si>
    <t>OPOLSKIE</t>
  </si>
  <si>
    <t>PODKARPACKIE</t>
  </si>
  <si>
    <t>PODLASKIE</t>
  </si>
  <si>
    <t>POMORSKIE</t>
  </si>
  <si>
    <t>ŚLĄSKIE</t>
  </si>
  <si>
    <t>ŚWIĘTOKRZYSKIE</t>
  </si>
  <si>
    <t>WARMIŃSKO-MAZURSKIE</t>
  </si>
  <si>
    <t>WIELKOPOLSKIE</t>
  </si>
  <si>
    <t>ZACHODNIOPOMORSKIE</t>
  </si>
  <si>
    <t>Sezon</t>
  </si>
  <si>
    <t>Województwo</t>
  </si>
  <si>
    <t>ID</t>
  </si>
  <si>
    <t>Sędzia (Imię Nazwisko)</t>
  </si>
  <si>
    <t>Mecze</t>
  </si>
  <si>
    <t>Suma km</t>
  </si>
  <si>
    <t>Średni km</t>
  </si>
  <si>
    <t>Min km</t>
  </si>
  <si>
    <t>Max km</t>
  </si>
  <si>
    <t>0-15</t>
  </si>
  <si>
    <t>16-30</t>
  </si>
  <si>
    <t>31-45</t>
  </si>
  <si>
    <t>46-60</t>
  </si>
  <si>
    <t>61-80</t>
  </si>
  <si>
    <t>81-100</t>
  </si>
  <si>
    <t>&gt;100</t>
  </si>
  <si>
    <t>Data aktualizacji</t>
  </si>
  <si>
    <t>__score</t>
  </si>
  <si>
    <t>FILTRY WYKRESÓW</t>
  </si>
  <si>
    <t>Sezon (filtr)</t>
  </si>
  <si>
    <t>Województwo (filtr)</t>
  </si>
  <si>
    <t>Podsumowanie (dla filtra)</t>
  </si>
  <si>
    <t>Łącznie meczów</t>
  </si>
  <si>
    <t>Średni km (ważony)</t>
  </si>
  <si>
    <t>Liczba sędziów</t>
  </si>
  <si>
    <t>Przedział</t>
  </si>
  <si>
    <t>Udział %</t>
  </si>
  <si>
    <t>Jak czytać wykresy:</t>
  </si>
  <si>
    <t>• Słupki: ile meczów w każdym przedziale km (dla filtra z B1/B2).</t>
  </si>
  <si>
    <t>• Donut: udział % tych meczów w przedziałach (suma = 100%).</t>
  </si>
  <si>
    <t>Jeśli wszystko jest 0, to znaczy że w danych nie ma meczów dla wybranego filtra.</t>
  </si>
  <si>
    <t>Sędzia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</si>
</sst>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&quot; km&quot;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38"/>
      <scheme val="minor"/>
    </font>
    <font>
      <b/>
      <sz val="11"/>
      <color rgb="FFFFFFFF"/>
      <name val="Calibri"/>
    </font>
    <font>
      <b/>
      <sz val="11"/>
      <name val="Calibri"/>
    </font>
    <font>
      <b/>
      <sz val="12"/>
      <name val="Calibri"/>
    </font>
    <font>
      <b/>
      <sz val="11"/>
      <color rgb="FFFFFFFF"/>
      <name val="Calibri"/>
      <family val="2"/>
    </font>
    <font>
      <b/>
      <sz val="11"/>
      <color theme="8" tint="0.79998168889431442"/>
      <name val="Calibri"/>
      <family val="2"/>
      <charset val="238"/>
    </font>
    <font>
      <b/>
      <sz val="11"/>
      <name val="Calibri"/>
      <family val="2"/>
      <charset val="238"/>
    </font>
    <font>
      <b/>
      <sz val="11"/>
      <color theme="9" tint="0.79998168889431442"/>
      <name val="Calibri"/>
      <family val="2"/>
      <charset val="238"/>
    </font>
    <font>
      <b/>
      <sz val="11"/>
      <color theme="9" tint="-0.249977111117893"/>
      <name val="Calibri"/>
      <family val="2"/>
      <charset val="238"/>
      <scheme val="minor"/>
    </font>
  </fonts>
  <fills count="8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rgb="FFE2E8F0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-0.249977111117893"/>
        <bgColor indexed="64"/>
      </patternFill>
    </fill>
  </fills>
  <borders count="4">
    <border>
      <left/>
      <right/>
      <top/>
      <bottom/>
      <diagonal/>
    </border>
    <border>
      <left style="thin">
        <color rgb="FFD0D7DE"/>
      </left>
      <right style="thin">
        <color rgb="FFD0D7DE"/>
      </right>
      <top style="thin">
        <color rgb="FFD0D7DE"/>
      </top>
      <bottom style="thin">
        <color rgb="FFD0D7DE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2" fillId="2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left" vertical="center"/>
    </xf>
    <xf numFmtId="0" fontId="0" fillId="0" borderId="1" xfId="0" applyBorder="1" applyAlignment="1">
      <alignment horizontal="center" vertical="center"/>
    </xf>
    <xf numFmtId="0" fontId="3" fillId="0" borderId="0" xfId="0" applyFont="1"/>
    <xf numFmtId="0" fontId="4" fillId="0" borderId="0" xfId="0" applyFont="1"/>
    <xf numFmtId="0" fontId="3" fillId="3" borderId="1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9" fontId="0" fillId="0" borderId="1" xfId="0" applyNumberFormat="1" applyBorder="1" applyAlignment="1">
      <alignment horizontal="center"/>
    </xf>
    <xf numFmtId="0" fontId="0" fillId="0" borderId="0" xfId="0" applyAlignment="1">
      <alignment wrapText="1"/>
    </xf>
    <xf numFmtId="0" fontId="0" fillId="4" borderId="2" xfId="0" applyFill="1" applyBorder="1" applyAlignment="1">
      <alignment horizontal="center"/>
    </xf>
    <xf numFmtId="164" fontId="0" fillId="4" borderId="2" xfId="0" applyNumberFormat="1" applyFill="1" applyBorder="1" applyAlignment="1">
      <alignment horizontal="center"/>
    </xf>
    <xf numFmtId="0" fontId="6" fillId="5" borderId="2" xfId="0" applyFont="1" applyFill="1" applyBorder="1" applyAlignment="1">
      <alignment horizontal="center"/>
    </xf>
    <xf numFmtId="0" fontId="7" fillId="0" borderId="0" xfId="0" applyFont="1"/>
    <xf numFmtId="0" fontId="8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5" fillId="2" borderId="1" xfId="0" applyFont="1" applyFill="1" applyBorder="1" applyAlignment="1">
      <alignment horizontal="center" vertical="center" wrapText="1"/>
    </xf>
    <xf numFmtId="0" fontId="9" fillId="0" borderId="2" xfId="0" applyFont="1" applyBorder="1" applyAlignment="1">
      <alignment horizontal="center"/>
    </xf>
    <xf numFmtId="0" fontId="0" fillId="0" borderId="3" xfId="0" applyBorder="1"/>
  </cellXfs>
  <cellStyles count="1">
    <cellStyle name="Normalny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l-PL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pl-PL"/>
              <a:t>Mecze wg przedziału km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Dashboard!$B$11</c:f>
              <c:strCache>
                <c:ptCount val="1"/>
                <c:pt idx="0">
                  <c:v>Mecze</c:v>
                </c:pt>
              </c:strCache>
            </c:strRef>
          </c:tx>
          <c:spPr>
            <a:ln>
              <a:prstDash val="solid"/>
            </a:ln>
          </c:spPr>
          <c:invertIfNegative val="1"/>
          <c:dLbls>
            <c:spPr>
              <a:noFill/>
              <a:ln>
                <a:noFill/>
                <a:prstDash val="solid"/>
              </a:ln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>
                    <a:solidFill>
                      <a:schemeClr val="tx1"/>
                    </a:solidFill>
                  </a:defRPr>
                </a:pPr>
                <a:endParaRPr lang="pl-PL"/>
              </a:p>
            </c:txPr>
            <c:dLblPos val="ctr"/>
            <c:showLegendKey val="1"/>
            <c:showVal val="1"/>
            <c:showCatName val="0"/>
            <c:showSerName val="0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Dashboard!$A$12:$A$18</c:f>
              <c:strCache>
                <c:ptCount val="7"/>
                <c:pt idx="0">
                  <c:v>0-15</c:v>
                </c:pt>
                <c:pt idx="1">
                  <c:v>16-30</c:v>
                </c:pt>
                <c:pt idx="2">
                  <c:v>31-45</c:v>
                </c:pt>
                <c:pt idx="3">
                  <c:v>46-60</c:v>
                </c:pt>
                <c:pt idx="4">
                  <c:v>61-80</c:v>
                </c:pt>
                <c:pt idx="5">
                  <c:v>81-100</c:v>
                </c:pt>
                <c:pt idx="6">
                  <c:v>&gt;100</c:v>
                </c:pt>
              </c:strCache>
            </c:strRef>
          </c:cat>
          <c:val>
            <c:numRef>
              <c:f>Dashboard!$B$12:$B$18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51A-49B2-9BB4-3FBC5416F04E}"/>
            </c:ext>
          </c:extLst>
        </c:ser>
        <c:dLbls>
          <c:showLegendKey val="1"/>
          <c:showVal val="1"/>
          <c:showCatName val="1"/>
          <c:showSerName val="1"/>
          <c:showPercent val="1"/>
          <c:showBubbleSize val="1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b"/>
        <c:title>
          <c:tx>
            <c:rich>
              <a:bodyPr anchor="b" anchorCtr="1"/>
              <a:lstStyle/>
              <a:p>
                <a:pPr>
                  <a:defRPr/>
                </a:pPr>
                <a:r>
                  <a:rPr lang="pl-PL"/>
                  <a:t>Przedział km</a:t>
                </a:r>
              </a:p>
            </c:rich>
          </c:tx>
          <c:layout>
            <c:manualLayout>
              <c:xMode val="edge"/>
              <c:yMode val="edge"/>
              <c:x val="0.39236404320987661"/>
              <c:y val="0.94040000000000001"/>
            </c:manualLayout>
          </c:layout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pl-PL"/>
                  <a:t>Liczba meczów</a:t>
                </a:r>
              </a:p>
            </c:rich>
          </c:tx>
          <c:layout>
            <c:manualLayout>
              <c:xMode val="edge"/>
              <c:yMode val="edge"/>
              <c:x val="0"/>
              <c:y val="0.36759074074074072"/>
            </c:manualLayout>
          </c:layout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l-PL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pl-PL"/>
              <a:t>Udział % meczów wg przedziału</a:t>
            </a:r>
          </a:p>
        </c:rich>
      </c:tx>
      <c:overlay val="1"/>
    </c:title>
    <c:autoTitleDeleted val="0"/>
    <c:plotArea>
      <c:layout/>
      <c:doughnutChart>
        <c:varyColors val="1"/>
        <c:ser>
          <c:idx val="0"/>
          <c:order val="0"/>
          <c:tx>
            <c:strRef>
              <c:f>Dashboard!$C$11</c:f>
              <c:strCache>
                <c:ptCount val="1"/>
                <c:pt idx="0">
                  <c:v>Udział %</c:v>
                </c:pt>
              </c:strCache>
            </c:strRef>
          </c:tx>
          <c:spPr>
            <a:ln>
              <a:prstDash val="solid"/>
            </a:ln>
          </c:spPr>
          <c:dLbls>
            <c:spPr>
              <a:noFill/>
              <a:ln>
                <a:noFill/>
                <a:prstDash val="solid"/>
              </a:ln>
            </c:spPr>
            <c:showLegendKey val="1"/>
            <c:showVal val="0"/>
            <c:showCatName val="0"/>
            <c:showSerName val="0"/>
            <c:showPercent val="1"/>
            <c:showBubbleSize val="1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Dashboard!$A$12:$A$18</c:f>
              <c:strCache>
                <c:ptCount val="7"/>
                <c:pt idx="0">
                  <c:v>0-15</c:v>
                </c:pt>
                <c:pt idx="1">
                  <c:v>16-30</c:v>
                </c:pt>
                <c:pt idx="2">
                  <c:v>31-45</c:v>
                </c:pt>
                <c:pt idx="3">
                  <c:v>46-60</c:v>
                </c:pt>
                <c:pt idx="4">
                  <c:v>61-80</c:v>
                </c:pt>
                <c:pt idx="5">
                  <c:v>81-100</c:v>
                </c:pt>
                <c:pt idx="6">
                  <c:v>&gt;100</c:v>
                </c:pt>
              </c:strCache>
            </c:strRef>
          </c:cat>
          <c:val>
            <c:numRef>
              <c:f>Dashboard!$C$12:$C$18</c:f>
            </c:numRef>
          </c:val>
          <c:extLst>
            <c:ext xmlns:c16="http://schemas.microsoft.com/office/drawing/2014/chart" uri="{C3380CC4-5D6E-409C-BE32-E72D297353CC}">
              <c16:uniqueId val="{00000007-4AC1-44D6-ABB0-1B6D9342F271}"/>
            </c:ext>
          </c:extLst>
        </c:ser>
        <c:dLbls>
          <c:showLegendKey val="1"/>
          <c:showVal val="1"/>
          <c:showCatName val="1"/>
          <c:showSerName val="1"/>
          <c:showPercent val="1"/>
          <c:showBubbleSize val="1"/>
          <c:showLeaderLines val="1"/>
        </c:dLbls>
        <c:firstSliceAng val="0"/>
        <c:holeSize val="55"/>
      </c:doughnutChart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l-PL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pl-PL"/>
              <a:t>Suma kilometrów – TOP 50 sędziów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Dashboard!$B$26</c:f>
              <c:strCache>
                <c:ptCount val="1"/>
                <c:pt idx="0">
                  <c:v>Suma km</c:v>
                </c:pt>
              </c:strCache>
            </c:strRef>
          </c:tx>
          <c:spPr>
            <a:ln>
              <a:prstDash val="solid"/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showLegendKey val="1"/>
            <c:showVal val="0"/>
            <c:showCatName val="1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multiLvlStrRef>
              <c:f>Dashboard!$A$27:$A$76</c:f>
            </c:multiLvlStrRef>
          </c:cat>
          <c:val>
            <c:numRef>
              <c:f>Dashboard!$B$27:$B$76</c:f>
              <c:numCache>
                <c:formatCode>General</c:formatCode>
                <c:ptCount val="5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ABD-4E89-964B-28C4A26C7039}"/>
            </c:ext>
          </c:extLst>
        </c:ser>
        <c:dLbls>
          <c:showLegendKey val="1"/>
          <c:showVal val="0"/>
          <c:showCatName val="1"/>
          <c:showSerName val="1"/>
          <c:showPercent val="1"/>
          <c:showBubbleSize val="1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pl-PL"/>
                  <a:t>Sędzia</a:t>
                </a:r>
              </a:p>
            </c:rich>
          </c:tx>
          <c:overlay val="1"/>
        </c:title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pl-PL"/>
                  <a:t>km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579120</xdr:colOff>
      <xdr:row>1</xdr:row>
      <xdr:rowOff>106680</xdr:rowOff>
    </xdr:from>
    <xdr:ext cx="6480000" cy="324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3</xdr:col>
      <xdr:colOff>579120</xdr:colOff>
      <xdr:row>19</xdr:row>
      <xdr:rowOff>121920</xdr:rowOff>
    </xdr:from>
    <xdr:ext cx="6480000" cy="324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oneCellAnchor>
    <xdr:from>
      <xdr:col>3</xdr:col>
      <xdr:colOff>0</xdr:colOff>
      <xdr:row>36</xdr:row>
      <xdr:rowOff>0</xdr:rowOff>
    </xdr:from>
    <xdr:ext cx="8640000" cy="3600000"/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elaDojazdow" displayName="TabelaDojazdow" ref="A1:Q1000">
  <autoFilter ref="A1:Q1000" xr:uid="{00000000-0009-0000-0100-000001000000}"/>
  <tableColumns count="17">
    <tableColumn id="1" xr3:uid="{00000000-0010-0000-0000-000001000000}" name="Sezon"/>
    <tableColumn id="2" xr3:uid="{00000000-0010-0000-0000-000002000000}" name="Województwo"/>
    <tableColumn id="3" xr3:uid="{00000000-0010-0000-0000-000003000000}" name="ID"/>
    <tableColumn id="4" xr3:uid="{00000000-0010-0000-0000-000004000000}" name="Sędzia (Imię Nazwisko)"/>
    <tableColumn id="5" xr3:uid="{00000000-0010-0000-0000-000005000000}" name="Mecze"/>
    <tableColumn id="6" xr3:uid="{00000000-0010-0000-0000-000006000000}" name="Suma km"/>
    <tableColumn id="7" xr3:uid="{00000000-0010-0000-0000-000007000000}" name="Średni km"/>
    <tableColumn id="8" xr3:uid="{00000000-0010-0000-0000-000008000000}" name="Min km"/>
    <tableColumn id="9" xr3:uid="{00000000-0010-0000-0000-000009000000}" name="Max km"/>
    <tableColumn id="10" xr3:uid="{00000000-0010-0000-0000-00000A000000}" name="0-15"/>
    <tableColumn id="11" xr3:uid="{00000000-0010-0000-0000-00000B000000}" name="16-30"/>
    <tableColumn id="12" xr3:uid="{00000000-0010-0000-0000-00000C000000}" name="31-45"/>
    <tableColumn id="13" xr3:uid="{00000000-0010-0000-0000-00000D000000}" name="46-60"/>
    <tableColumn id="14" xr3:uid="{00000000-0010-0000-0000-00000E000000}" name="61-80"/>
    <tableColumn id="15" xr3:uid="{00000000-0010-0000-0000-00000F000000}" name="81-100"/>
    <tableColumn id="16" xr3:uid="{00000000-0010-0000-0000-000010000000}" name="&gt;100"/>
    <tableColumn id="17" xr3:uid="{00000000-0010-0000-0000-000011000000}" name="Data aktualizacji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000"/>
  <sheetViews>
    <sheetView workbookViewId="0">
      <pane ySplit="1" topLeftCell="A2" activePane="bottomLeft" state="frozen"/>
      <selection pane="bottomLeft" activeCell="G7" sqref="G7"/>
    </sheetView>
  </sheetViews>
  <sheetFormatPr defaultRowHeight="14.4" x14ac:dyDescent="0.3"/>
  <cols>
    <col min="1" max="1" width="10" customWidth="1"/>
    <col min="2" max="2" width="16" customWidth="1"/>
    <col min="3" max="3" width="8" customWidth="1"/>
    <col min="4" max="4" width="28" customWidth="1"/>
    <col min="5" max="5" width="8" customWidth="1"/>
    <col min="6" max="6" width="10" customWidth="1"/>
    <col min="7" max="8" width="8" customWidth="1"/>
    <col min="9" max="15" width="10" customWidth="1"/>
    <col min="16" max="16" width="20" customWidth="1"/>
    <col min="18" max="18" width="13" hidden="1" customWidth="1"/>
  </cols>
  <sheetData>
    <row r="1" spans="1:18" ht="43.2" x14ac:dyDescent="0.3">
      <c r="A1" s="1" t="s">
        <v>21</v>
      </c>
      <c r="B1" s="1" t="s">
        <v>22</v>
      </c>
      <c r="C1" s="1" t="s">
        <v>23</v>
      </c>
      <c r="D1" s="1" t="s">
        <v>24</v>
      </c>
      <c r="E1" s="1" t="s">
        <v>25</v>
      </c>
      <c r="F1" s="1" t="s">
        <v>26</v>
      </c>
      <c r="G1" s="1" t="s">
        <v>27</v>
      </c>
      <c r="H1" s="1" t="s">
        <v>28</v>
      </c>
      <c r="I1" s="1" t="s">
        <v>29</v>
      </c>
      <c r="J1" s="16" t="s">
        <v>30</v>
      </c>
      <c r="K1" s="16" t="s">
        <v>31</v>
      </c>
      <c r="L1" s="16" t="s">
        <v>32</v>
      </c>
      <c r="M1" s="16" t="s">
        <v>33</v>
      </c>
      <c r="N1" s="16" t="s">
        <v>34</v>
      </c>
      <c r="O1" s="16" t="s">
        <v>35</v>
      </c>
      <c r="P1" s="16" t="s">
        <v>36</v>
      </c>
      <c r="Q1" s="16" t="s">
        <v>37</v>
      </c>
      <c r="R1" t="s">
        <v>38</v>
      </c>
    </row>
    <row r="2" spans="1:18" x14ac:dyDescent="0.3">
      <c r="A2" s="2"/>
      <c r="B2" s="2"/>
      <c r="C2" s="2"/>
      <c r="D2" s="2"/>
      <c r="E2" s="3"/>
      <c r="G2" s="3"/>
      <c r="H2" s="3"/>
      <c r="I2" s="3"/>
      <c r="J2" s="2"/>
      <c r="K2" s="2"/>
      <c r="L2" s="2"/>
      <c r="M2" s="2"/>
      <c r="N2" s="2"/>
      <c r="O2" s="2"/>
      <c r="P2" s="2"/>
      <c r="Q2" s="2"/>
      <c r="R2" t="str">
        <f t="shared" ref="R2:R65" si="0">IF($F2="","",$F2+ROW()/1000000)</f>
        <v/>
      </c>
    </row>
    <row r="3" spans="1:18" x14ac:dyDescent="0.3">
      <c r="A3" s="2"/>
      <c r="B3" s="2"/>
      <c r="C3" s="2"/>
      <c r="D3" s="2"/>
      <c r="E3" s="3"/>
      <c r="G3" s="3"/>
      <c r="H3" s="3"/>
      <c r="I3" s="3"/>
      <c r="J3" s="2"/>
      <c r="K3" s="2"/>
      <c r="L3" s="2"/>
      <c r="M3" s="2"/>
      <c r="N3" s="2"/>
      <c r="O3" s="2"/>
      <c r="P3" s="2"/>
      <c r="Q3" s="2"/>
      <c r="R3" t="str">
        <f t="shared" si="0"/>
        <v/>
      </c>
    </row>
    <row r="4" spans="1:18" x14ac:dyDescent="0.3">
      <c r="A4" s="2"/>
      <c r="B4" s="2"/>
      <c r="C4" s="2"/>
      <c r="D4" s="2"/>
      <c r="E4" s="3"/>
      <c r="G4" s="3"/>
      <c r="H4" s="3"/>
      <c r="I4" s="3"/>
      <c r="J4" s="2"/>
      <c r="K4" s="2"/>
      <c r="L4" s="2"/>
      <c r="M4" s="2"/>
      <c r="N4" s="2"/>
      <c r="O4" s="2"/>
      <c r="P4" s="2"/>
      <c r="Q4" s="2"/>
      <c r="R4" t="str">
        <f t="shared" si="0"/>
        <v/>
      </c>
    </row>
    <row r="5" spans="1:18" x14ac:dyDescent="0.3">
      <c r="R5" t="str">
        <f t="shared" si="0"/>
        <v/>
      </c>
    </row>
    <row r="6" spans="1:18" x14ac:dyDescent="0.3">
      <c r="R6" t="str">
        <f t="shared" si="0"/>
        <v/>
      </c>
    </row>
    <row r="7" spans="1:18" x14ac:dyDescent="0.3">
      <c r="R7" t="str">
        <f t="shared" si="0"/>
        <v/>
      </c>
    </row>
    <row r="8" spans="1:18" x14ac:dyDescent="0.3">
      <c r="R8" t="str">
        <f t="shared" si="0"/>
        <v/>
      </c>
    </row>
    <row r="9" spans="1:18" x14ac:dyDescent="0.3">
      <c r="R9" t="str">
        <f t="shared" si="0"/>
        <v/>
      </c>
    </row>
    <row r="10" spans="1:18" x14ac:dyDescent="0.3">
      <c r="R10" t="str">
        <f t="shared" si="0"/>
        <v/>
      </c>
    </row>
    <row r="11" spans="1:18" x14ac:dyDescent="0.3">
      <c r="R11" t="str">
        <f t="shared" si="0"/>
        <v/>
      </c>
    </row>
    <row r="12" spans="1:18" x14ac:dyDescent="0.3">
      <c r="R12" t="str">
        <f t="shared" si="0"/>
        <v/>
      </c>
    </row>
    <row r="13" spans="1:18" x14ac:dyDescent="0.3">
      <c r="R13" t="str">
        <f t="shared" si="0"/>
        <v/>
      </c>
    </row>
    <row r="14" spans="1:18" x14ac:dyDescent="0.3">
      <c r="R14" t="str">
        <f t="shared" si="0"/>
        <v/>
      </c>
    </row>
    <row r="15" spans="1:18" x14ac:dyDescent="0.3">
      <c r="R15" t="str">
        <f t="shared" si="0"/>
        <v/>
      </c>
    </row>
    <row r="16" spans="1:18" x14ac:dyDescent="0.3">
      <c r="R16" t="str">
        <f t="shared" si="0"/>
        <v/>
      </c>
    </row>
    <row r="17" spans="18:18" x14ac:dyDescent="0.3">
      <c r="R17" t="str">
        <f t="shared" si="0"/>
        <v/>
      </c>
    </row>
    <row r="18" spans="18:18" x14ac:dyDescent="0.3">
      <c r="R18" t="str">
        <f t="shared" si="0"/>
        <v/>
      </c>
    </row>
    <row r="19" spans="18:18" x14ac:dyDescent="0.3">
      <c r="R19" t="str">
        <f t="shared" si="0"/>
        <v/>
      </c>
    </row>
    <row r="20" spans="18:18" x14ac:dyDescent="0.3">
      <c r="R20" t="str">
        <f t="shared" si="0"/>
        <v/>
      </c>
    </row>
    <row r="21" spans="18:18" x14ac:dyDescent="0.3">
      <c r="R21" t="str">
        <f t="shared" si="0"/>
        <v/>
      </c>
    </row>
    <row r="22" spans="18:18" x14ac:dyDescent="0.3">
      <c r="R22" t="str">
        <f t="shared" si="0"/>
        <v/>
      </c>
    </row>
    <row r="23" spans="18:18" x14ac:dyDescent="0.3">
      <c r="R23" t="str">
        <f t="shared" si="0"/>
        <v/>
      </c>
    </row>
    <row r="24" spans="18:18" x14ac:dyDescent="0.3">
      <c r="R24" t="str">
        <f t="shared" si="0"/>
        <v/>
      </c>
    </row>
    <row r="25" spans="18:18" x14ac:dyDescent="0.3">
      <c r="R25" t="str">
        <f t="shared" si="0"/>
        <v/>
      </c>
    </row>
    <row r="26" spans="18:18" x14ac:dyDescent="0.3">
      <c r="R26" t="str">
        <f t="shared" si="0"/>
        <v/>
      </c>
    </row>
    <row r="27" spans="18:18" x14ac:dyDescent="0.3">
      <c r="R27" t="str">
        <f t="shared" si="0"/>
        <v/>
      </c>
    </row>
    <row r="28" spans="18:18" x14ac:dyDescent="0.3">
      <c r="R28" t="str">
        <f t="shared" si="0"/>
        <v/>
      </c>
    </row>
    <row r="29" spans="18:18" x14ac:dyDescent="0.3">
      <c r="R29" t="str">
        <f t="shared" si="0"/>
        <v/>
      </c>
    </row>
    <row r="30" spans="18:18" x14ac:dyDescent="0.3">
      <c r="R30" t="str">
        <f t="shared" si="0"/>
        <v/>
      </c>
    </row>
    <row r="31" spans="18:18" x14ac:dyDescent="0.3">
      <c r="R31" t="str">
        <f t="shared" si="0"/>
        <v/>
      </c>
    </row>
    <row r="32" spans="18:18" x14ac:dyDescent="0.3">
      <c r="R32" t="str">
        <f t="shared" si="0"/>
        <v/>
      </c>
    </row>
    <row r="33" spans="18:18" x14ac:dyDescent="0.3">
      <c r="R33" t="str">
        <f t="shared" si="0"/>
        <v/>
      </c>
    </row>
    <row r="34" spans="18:18" x14ac:dyDescent="0.3">
      <c r="R34" t="str">
        <f t="shared" si="0"/>
        <v/>
      </c>
    </row>
    <row r="35" spans="18:18" x14ac:dyDescent="0.3">
      <c r="R35" t="str">
        <f t="shared" si="0"/>
        <v/>
      </c>
    </row>
    <row r="36" spans="18:18" x14ac:dyDescent="0.3">
      <c r="R36" t="str">
        <f t="shared" si="0"/>
        <v/>
      </c>
    </row>
    <row r="37" spans="18:18" x14ac:dyDescent="0.3">
      <c r="R37" t="str">
        <f t="shared" si="0"/>
        <v/>
      </c>
    </row>
    <row r="38" spans="18:18" x14ac:dyDescent="0.3">
      <c r="R38" t="str">
        <f t="shared" si="0"/>
        <v/>
      </c>
    </row>
    <row r="39" spans="18:18" x14ac:dyDescent="0.3">
      <c r="R39" t="str">
        <f t="shared" si="0"/>
        <v/>
      </c>
    </row>
    <row r="40" spans="18:18" x14ac:dyDescent="0.3">
      <c r="R40" t="str">
        <f t="shared" si="0"/>
        <v/>
      </c>
    </row>
    <row r="41" spans="18:18" x14ac:dyDescent="0.3">
      <c r="R41" t="str">
        <f t="shared" si="0"/>
        <v/>
      </c>
    </row>
    <row r="42" spans="18:18" x14ac:dyDescent="0.3">
      <c r="R42" t="str">
        <f t="shared" si="0"/>
        <v/>
      </c>
    </row>
    <row r="43" spans="18:18" x14ac:dyDescent="0.3">
      <c r="R43" t="str">
        <f t="shared" si="0"/>
        <v/>
      </c>
    </row>
    <row r="44" spans="18:18" x14ac:dyDescent="0.3">
      <c r="R44" t="str">
        <f t="shared" si="0"/>
        <v/>
      </c>
    </row>
    <row r="45" spans="18:18" x14ac:dyDescent="0.3">
      <c r="R45" t="str">
        <f t="shared" si="0"/>
        <v/>
      </c>
    </row>
    <row r="46" spans="18:18" x14ac:dyDescent="0.3">
      <c r="R46" t="str">
        <f t="shared" si="0"/>
        <v/>
      </c>
    </row>
    <row r="47" spans="18:18" x14ac:dyDescent="0.3">
      <c r="R47" t="str">
        <f t="shared" si="0"/>
        <v/>
      </c>
    </row>
    <row r="48" spans="18:18" x14ac:dyDescent="0.3">
      <c r="R48" t="str">
        <f t="shared" si="0"/>
        <v/>
      </c>
    </row>
    <row r="49" spans="18:18" x14ac:dyDescent="0.3">
      <c r="R49" t="str">
        <f t="shared" si="0"/>
        <v/>
      </c>
    </row>
    <row r="50" spans="18:18" x14ac:dyDescent="0.3">
      <c r="R50" t="str">
        <f t="shared" si="0"/>
        <v/>
      </c>
    </row>
    <row r="51" spans="18:18" x14ac:dyDescent="0.3">
      <c r="R51" t="str">
        <f t="shared" si="0"/>
        <v/>
      </c>
    </row>
    <row r="52" spans="18:18" x14ac:dyDescent="0.3">
      <c r="R52" t="str">
        <f t="shared" si="0"/>
        <v/>
      </c>
    </row>
    <row r="53" spans="18:18" x14ac:dyDescent="0.3">
      <c r="R53" t="str">
        <f t="shared" si="0"/>
        <v/>
      </c>
    </row>
    <row r="54" spans="18:18" x14ac:dyDescent="0.3">
      <c r="R54" t="str">
        <f t="shared" si="0"/>
        <v/>
      </c>
    </row>
    <row r="55" spans="18:18" x14ac:dyDescent="0.3">
      <c r="R55" t="str">
        <f t="shared" si="0"/>
        <v/>
      </c>
    </row>
    <row r="56" spans="18:18" x14ac:dyDescent="0.3">
      <c r="R56" t="str">
        <f t="shared" si="0"/>
        <v/>
      </c>
    </row>
    <row r="57" spans="18:18" x14ac:dyDescent="0.3">
      <c r="R57" t="str">
        <f t="shared" si="0"/>
        <v/>
      </c>
    </row>
    <row r="58" spans="18:18" x14ac:dyDescent="0.3">
      <c r="R58" t="str">
        <f t="shared" si="0"/>
        <v/>
      </c>
    </row>
    <row r="59" spans="18:18" x14ac:dyDescent="0.3">
      <c r="R59" t="str">
        <f t="shared" si="0"/>
        <v/>
      </c>
    </row>
    <row r="60" spans="18:18" x14ac:dyDescent="0.3">
      <c r="R60" t="str">
        <f t="shared" si="0"/>
        <v/>
      </c>
    </row>
    <row r="61" spans="18:18" x14ac:dyDescent="0.3">
      <c r="R61" t="str">
        <f t="shared" si="0"/>
        <v/>
      </c>
    </row>
    <row r="62" spans="18:18" x14ac:dyDescent="0.3">
      <c r="R62" t="str">
        <f t="shared" si="0"/>
        <v/>
      </c>
    </row>
    <row r="63" spans="18:18" x14ac:dyDescent="0.3">
      <c r="R63" t="str">
        <f t="shared" si="0"/>
        <v/>
      </c>
    </row>
    <row r="64" spans="18:18" x14ac:dyDescent="0.3">
      <c r="R64" t="str">
        <f t="shared" si="0"/>
        <v/>
      </c>
    </row>
    <row r="65" spans="18:18" x14ac:dyDescent="0.3">
      <c r="R65" t="str">
        <f t="shared" si="0"/>
        <v/>
      </c>
    </row>
    <row r="66" spans="18:18" x14ac:dyDescent="0.3">
      <c r="R66" t="str">
        <f t="shared" ref="R66:R129" si="1">IF($F66="","",$F66+ROW()/1000000)</f>
        <v/>
      </c>
    </row>
    <row r="67" spans="18:18" x14ac:dyDescent="0.3">
      <c r="R67" t="str">
        <f t="shared" si="1"/>
        <v/>
      </c>
    </row>
    <row r="68" spans="18:18" x14ac:dyDescent="0.3">
      <c r="R68" t="str">
        <f t="shared" si="1"/>
        <v/>
      </c>
    </row>
    <row r="69" spans="18:18" x14ac:dyDescent="0.3">
      <c r="R69" t="str">
        <f t="shared" si="1"/>
        <v/>
      </c>
    </row>
    <row r="70" spans="18:18" x14ac:dyDescent="0.3">
      <c r="R70" t="str">
        <f t="shared" si="1"/>
        <v/>
      </c>
    </row>
    <row r="71" spans="18:18" x14ac:dyDescent="0.3">
      <c r="R71" t="str">
        <f t="shared" si="1"/>
        <v/>
      </c>
    </row>
    <row r="72" spans="18:18" x14ac:dyDescent="0.3">
      <c r="R72" t="str">
        <f t="shared" si="1"/>
        <v/>
      </c>
    </row>
    <row r="73" spans="18:18" x14ac:dyDescent="0.3">
      <c r="R73" t="str">
        <f t="shared" si="1"/>
        <v/>
      </c>
    </row>
    <row r="74" spans="18:18" x14ac:dyDescent="0.3">
      <c r="R74" t="str">
        <f t="shared" si="1"/>
        <v/>
      </c>
    </row>
    <row r="75" spans="18:18" x14ac:dyDescent="0.3">
      <c r="R75" t="str">
        <f t="shared" si="1"/>
        <v/>
      </c>
    </row>
    <row r="76" spans="18:18" x14ac:dyDescent="0.3">
      <c r="R76" t="str">
        <f t="shared" si="1"/>
        <v/>
      </c>
    </row>
    <row r="77" spans="18:18" x14ac:dyDescent="0.3">
      <c r="R77" t="str">
        <f t="shared" si="1"/>
        <v/>
      </c>
    </row>
    <row r="78" spans="18:18" x14ac:dyDescent="0.3">
      <c r="R78" t="str">
        <f t="shared" si="1"/>
        <v/>
      </c>
    </row>
    <row r="79" spans="18:18" x14ac:dyDescent="0.3">
      <c r="R79" t="str">
        <f t="shared" si="1"/>
        <v/>
      </c>
    </row>
    <row r="80" spans="18:18" x14ac:dyDescent="0.3">
      <c r="R80" t="str">
        <f t="shared" si="1"/>
        <v/>
      </c>
    </row>
    <row r="81" spans="18:18" x14ac:dyDescent="0.3">
      <c r="R81" t="str">
        <f t="shared" si="1"/>
        <v/>
      </c>
    </row>
    <row r="82" spans="18:18" x14ac:dyDescent="0.3">
      <c r="R82" t="str">
        <f t="shared" si="1"/>
        <v/>
      </c>
    </row>
    <row r="83" spans="18:18" x14ac:dyDescent="0.3">
      <c r="R83" t="str">
        <f t="shared" si="1"/>
        <v/>
      </c>
    </row>
    <row r="84" spans="18:18" x14ac:dyDescent="0.3">
      <c r="R84" t="str">
        <f t="shared" si="1"/>
        <v/>
      </c>
    </row>
    <row r="85" spans="18:18" x14ac:dyDescent="0.3">
      <c r="R85" t="str">
        <f t="shared" si="1"/>
        <v/>
      </c>
    </row>
    <row r="86" spans="18:18" x14ac:dyDescent="0.3">
      <c r="R86" t="str">
        <f t="shared" si="1"/>
        <v/>
      </c>
    </row>
    <row r="87" spans="18:18" x14ac:dyDescent="0.3">
      <c r="R87" t="str">
        <f t="shared" si="1"/>
        <v/>
      </c>
    </row>
    <row r="88" spans="18:18" x14ac:dyDescent="0.3">
      <c r="R88" t="str">
        <f t="shared" si="1"/>
        <v/>
      </c>
    </row>
    <row r="89" spans="18:18" x14ac:dyDescent="0.3">
      <c r="R89" t="str">
        <f t="shared" si="1"/>
        <v/>
      </c>
    </row>
    <row r="90" spans="18:18" x14ac:dyDescent="0.3">
      <c r="R90" t="str">
        <f t="shared" si="1"/>
        <v/>
      </c>
    </row>
    <row r="91" spans="18:18" x14ac:dyDescent="0.3">
      <c r="R91" t="str">
        <f t="shared" si="1"/>
        <v/>
      </c>
    </row>
    <row r="92" spans="18:18" x14ac:dyDescent="0.3">
      <c r="R92" t="str">
        <f t="shared" si="1"/>
        <v/>
      </c>
    </row>
    <row r="93" spans="18:18" x14ac:dyDescent="0.3">
      <c r="R93" t="str">
        <f t="shared" si="1"/>
        <v/>
      </c>
    </row>
    <row r="94" spans="18:18" x14ac:dyDescent="0.3">
      <c r="R94" t="str">
        <f t="shared" si="1"/>
        <v/>
      </c>
    </row>
    <row r="95" spans="18:18" x14ac:dyDescent="0.3">
      <c r="R95" t="str">
        <f t="shared" si="1"/>
        <v/>
      </c>
    </row>
    <row r="96" spans="18:18" x14ac:dyDescent="0.3">
      <c r="R96" t="str">
        <f t="shared" si="1"/>
        <v/>
      </c>
    </row>
    <row r="97" spans="18:18" x14ac:dyDescent="0.3">
      <c r="R97" t="str">
        <f t="shared" si="1"/>
        <v/>
      </c>
    </row>
    <row r="98" spans="18:18" x14ac:dyDescent="0.3">
      <c r="R98" t="str">
        <f t="shared" si="1"/>
        <v/>
      </c>
    </row>
    <row r="99" spans="18:18" x14ac:dyDescent="0.3">
      <c r="R99" t="str">
        <f t="shared" si="1"/>
        <v/>
      </c>
    </row>
    <row r="100" spans="18:18" x14ac:dyDescent="0.3">
      <c r="R100" t="str">
        <f t="shared" si="1"/>
        <v/>
      </c>
    </row>
    <row r="101" spans="18:18" x14ac:dyDescent="0.3">
      <c r="R101" t="str">
        <f t="shared" si="1"/>
        <v/>
      </c>
    </row>
    <row r="102" spans="18:18" x14ac:dyDescent="0.3">
      <c r="R102" t="str">
        <f t="shared" si="1"/>
        <v/>
      </c>
    </row>
    <row r="103" spans="18:18" x14ac:dyDescent="0.3">
      <c r="R103" t="str">
        <f t="shared" si="1"/>
        <v/>
      </c>
    </row>
    <row r="104" spans="18:18" x14ac:dyDescent="0.3">
      <c r="R104" t="str">
        <f t="shared" si="1"/>
        <v/>
      </c>
    </row>
    <row r="105" spans="18:18" x14ac:dyDescent="0.3">
      <c r="R105" t="str">
        <f t="shared" si="1"/>
        <v/>
      </c>
    </row>
    <row r="106" spans="18:18" x14ac:dyDescent="0.3">
      <c r="R106" t="str">
        <f t="shared" si="1"/>
        <v/>
      </c>
    </row>
    <row r="107" spans="18:18" x14ac:dyDescent="0.3">
      <c r="R107" t="str">
        <f t="shared" si="1"/>
        <v/>
      </c>
    </row>
    <row r="108" spans="18:18" x14ac:dyDescent="0.3">
      <c r="R108" t="str">
        <f t="shared" si="1"/>
        <v/>
      </c>
    </row>
    <row r="109" spans="18:18" x14ac:dyDescent="0.3">
      <c r="R109" t="str">
        <f t="shared" si="1"/>
        <v/>
      </c>
    </row>
    <row r="110" spans="18:18" x14ac:dyDescent="0.3">
      <c r="R110" t="str">
        <f t="shared" si="1"/>
        <v/>
      </c>
    </row>
    <row r="111" spans="18:18" x14ac:dyDescent="0.3">
      <c r="R111" t="str">
        <f t="shared" si="1"/>
        <v/>
      </c>
    </row>
    <row r="112" spans="18:18" x14ac:dyDescent="0.3">
      <c r="R112" t="str">
        <f t="shared" si="1"/>
        <v/>
      </c>
    </row>
    <row r="113" spans="18:18" x14ac:dyDescent="0.3">
      <c r="R113" t="str">
        <f t="shared" si="1"/>
        <v/>
      </c>
    </row>
    <row r="114" spans="18:18" x14ac:dyDescent="0.3">
      <c r="R114" t="str">
        <f t="shared" si="1"/>
        <v/>
      </c>
    </row>
    <row r="115" spans="18:18" x14ac:dyDescent="0.3">
      <c r="R115" t="str">
        <f t="shared" si="1"/>
        <v/>
      </c>
    </row>
    <row r="116" spans="18:18" x14ac:dyDescent="0.3">
      <c r="R116" t="str">
        <f t="shared" si="1"/>
        <v/>
      </c>
    </row>
    <row r="117" spans="18:18" x14ac:dyDescent="0.3">
      <c r="R117" t="str">
        <f t="shared" si="1"/>
        <v/>
      </c>
    </row>
    <row r="118" spans="18:18" x14ac:dyDescent="0.3">
      <c r="R118" t="str">
        <f t="shared" si="1"/>
        <v/>
      </c>
    </row>
    <row r="119" spans="18:18" x14ac:dyDescent="0.3">
      <c r="R119" t="str">
        <f t="shared" si="1"/>
        <v/>
      </c>
    </row>
    <row r="120" spans="18:18" x14ac:dyDescent="0.3">
      <c r="R120" t="str">
        <f t="shared" si="1"/>
        <v/>
      </c>
    </row>
    <row r="121" spans="18:18" x14ac:dyDescent="0.3">
      <c r="R121" t="str">
        <f t="shared" si="1"/>
        <v/>
      </c>
    </row>
    <row r="122" spans="18:18" x14ac:dyDescent="0.3">
      <c r="R122" t="str">
        <f t="shared" si="1"/>
        <v/>
      </c>
    </row>
    <row r="123" spans="18:18" x14ac:dyDescent="0.3">
      <c r="R123" t="str">
        <f t="shared" si="1"/>
        <v/>
      </c>
    </row>
    <row r="124" spans="18:18" x14ac:dyDescent="0.3">
      <c r="R124" t="str">
        <f t="shared" si="1"/>
        <v/>
      </c>
    </row>
    <row r="125" spans="18:18" x14ac:dyDescent="0.3">
      <c r="R125" t="str">
        <f t="shared" si="1"/>
        <v/>
      </c>
    </row>
    <row r="126" spans="18:18" x14ac:dyDescent="0.3">
      <c r="R126" t="str">
        <f t="shared" si="1"/>
        <v/>
      </c>
    </row>
    <row r="127" spans="18:18" x14ac:dyDescent="0.3">
      <c r="R127" t="str">
        <f t="shared" si="1"/>
        <v/>
      </c>
    </row>
    <row r="128" spans="18:18" x14ac:dyDescent="0.3">
      <c r="R128" t="str">
        <f t="shared" si="1"/>
        <v/>
      </c>
    </row>
    <row r="129" spans="18:18" x14ac:dyDescent="0.3">
      <c r="R129" t="str">
        <f t="shared" si="1"/>
        <v/>
      </c>
    </row>
    <row r="130" spans="18:18" x14ac:dyDescent="0.3">
      <c r="R130" t="str">
        <f t="shared" ref="R130:R193" si="2">IF($F130="","",$F130+ROW()/1000000)</f>
        <v/>
      </c>
    </row>
    <row r="131" spans="18:18" x14ac:dyDescent="0.3">
      <c r="R131" t="str">
        <f t="shared" si="2"/>
        <v/>
      </c>
    </row>
    <row r="132" spans="18:18" x14ac:dyDescent="0.3">
      <c r="R132" t="str">
        <f t="shared" si="2"/>
        <v/>
      </c>
    </row>
    <row r="133" spans="18:18" x14ac:dyDescent="0.3">
      <c r="R133" t="str">
        <f t="shared" si="2"/>
        <v/>
      </c>
    </row>
    <row r="134" spans="18:18" x14ac:dyDescent="0.3">
      <c r="R134" t="str">
        <f t="shared" si="2"/>
        <v/>
      </c>
    </row>
    <row r="135" spans="18:18" x14ac:dyDescent="0.3">
      <c r="R135" t="str">
        <f t="shared" si="2"/>
        <v/>
      </c>
    </row>
    <row r="136" spans="18:18" x14ac:dyDescent="0.3">
      <c r="R136" t="str">
        <f t="shared" si="2"/>
        <v/>
      </c>
    </row>
    <row r="137" spans="18:18" x14ac:dyDescent="0.3">
      <c r="R137" t="str">
        <f t="shared" si="2"/>
        <v/>
      </c>
    </row>
    <row r="138" spans="18:18" x14ac:dyDescent="0.3">
      <c r="R138" t="str">
        <f t="shared" si="2"/>
        <v/>
      </c>
    </row>
    <row r="139" spans="18:18" x14ac:dyDescent="0.3">
      <c r="R139" t="str">
        <f t="shared" si="2"/>
        <v/>
      </c>
    </row>
    <row r="140" spans="18:18" x14ac:dyDescent="0.3">
      <c r="R140" t="str">
        <f t="shared" si="2"/>
        <v/>
      </c>
    </row>
    <row r="141" spans="18:18" x14ac:dyDescent="0.3">
      <c r="R141" t="str">
        <f t="shared" si="2"/>
        <v/>
      </c>
    </row>
    <row r="142" spans="18:18" x14ac:dyDescent="0.3">
      <c r="R142" t="str">
        <f t="shared" si="2"/>
        <v/>
      </c>
    </row>
    <row r="143" spans="18:18" x14ac:dyDescent="0.3">
      <c r="R143" t="str">
        <f t="shared" si="2"/>
        <v/>
      </c>
    </row>
    <row r="144" spans="18:18" x14ac:dyDescent="0.3">
      <c r="R144" t="str">
        <f t="shared" si="2"/>
        <v/>
      </c>
    </row>
    <row r="145" spans="18:18" x14ac:dyDescent="0.3">
      <c r="R145" t="str">
        <f t="shared" si="2"/>
        <v/>
      </c>
    </row>
    <row r="146" spans="18:18" x14ac:dyDescent="0.3">
      <c r="R146" t="str">
        <f t="shared" si="2"/>
        <v/>
      </c>
    </row>
    <row r="147" spans="18:18" x14ac:dyDescent="0.3">
      <c r="R147" t="str">
        <f t="shared" si="2"/>
        <v/>
      </c>
    </row>
    <row r="148" spans="18:18" x14ac:dyDescent="0.3">
      <c r="R148" t="str">
        <f t="shared" si="2"/>
        <v/>
      </c>
    </row>
    <row r="149" spans="18:18" x14ac:dyDescent="0.3">
      <c r="R149" t="str">
        <f t="shared" si="2"/>
        <v/>
      </c>
    </row>
    <row r="150" spans="18:18" x14ac:dyDescent="0.3">
      <c r="R150" t="str">
        <f t="shared" si="2"/>
        <v/>
      </c>
    </row>
    <row r="151" spans="18:18" x14ac:dyDescent="0.3">
      <c r="R151" t="str">
        <f t="shared" si="2"/>
        <v/>
      </c>
    </row>
    <row r="152" spans="18:18" x14ac:dyDescent="0.3">
      <c r="R152" t="str">
        <f t="shared" si="2"/>
        <v/>
      </c>
    </row>
    <row r="153" spans="18:18" x14ac:dyDescent="0.3">
      <c r="R153" t="str">
        <f t="shared" si="2"/>
        <v/>
      </c>
    </row>
    <row r="154" spans="18:18" x14ac:dyDescent="0.3">
      <c r="R154" t="str">
        <f t="shared" si="2"/>
        <v/>
      </c>
    </row>
    <row r="155" spans="18:18" x14ac:dyDescent="0.3">
      <c r="R155" t="str">
        <f t="shared" si="2"/>
        <v/>
      </c>
    </row>
    <row r="156" spans="18:18" x14ac:dyDescent="0.3">
      <c r="R156" t="str">
        <f t="shared" si="2"/>
        <v/>
      </c>
    </row>
    <row r="157" spans="18:18" x14ac:dyDescent="0.3">
      <c r="R157" t="str">
        <f t="shared" si="2"/>
        <v/>
      </c>
    </row>
    <row r="158" spans="18:18" x14ac:dyDescent="0.3">
      <c r="R158" t="str">
        <f t="shared" si="2"/>
        <v/>
      </c>
    </row>
    <row r="159" spans="18:18" x14ac:dyDescent="0.3">
      <c r="R159" t="str">
        <f t="shared" si="2"/>
        <v/>
      </c>
    </row>
    <row r="160" spans="18:18" x14ac:dyDescent="0.3">
      <c r="R160" t="str">
        <f t="shared" si="2"/>
        <v/>
      </c>
    </row>
    <row r="161" spans="18:18" x14ac:dyDescent="0.3">
      <c r="R161" t="str">
        <f t="shared" si="2"/>
        <v/>
      </c>
    </row>
    <row r="162" spans="18:18" x14ac:dyDescent="0.3">
      <c r="R162" t="str">
        <f t="shared" si="2"/>
        <v/>
      </c>
    </row>
    <row r="163" spans="18:18" x14ac:dyDescent="0.3">
      <c r="R163" t="str">
        <f t="shared" si="2"/>
        <v/>
      </c>
    </row>
    <row r="164" spans="18:18" x14ac:dyDescent="0.3">
      <c r="R164" t="str">
        <f t="shared" si="2"/>
        <v/>
      </c>
    </row>
    <row r="165" spans="18:18" x14ac:dyDescent="0.3">
      <c r="R165" t="str">
        <f t="shared" si="2"/>
        <v/>
      </c>
    </row>
    <row r="166" spans="18:18" x14ac:dyDescent="0.3">
      <c r="R166" t="str">
        <f t="shared" si="2"/>
        <v/>
      </c>
    </row>
    <row r="167" spans="18:18" x14ac:dyDescent="0.3">
      <c r="R167" t="str">
        <f t="shared" si="2"/>
        <v/>
      </c>
    </row>
    <row r="168" spans="18:18" x14ac:dyDescent="0.3">
      <c r="R168" t="str">
        <f t="shared" si="2"/>
        <v/>
      </c>
    </row>
    <row r="169" spans="18:18" x14ac:dyDescent="0.3">
      <c r="R169" t="str">
        <f t="shared" si="2"/>
        <v/>
      </c>
    </row>
    <row r="170" spans="18:18" x14ac:dyDescent="0.3">
      <c r="R170" t="str">
        <f t="shared" si="2"/>
        <v/>
      </c>
    </row>
    <row r="171" spans="18:18" x14ac:dyDescent="0.3">
      <c r="R171" t="str">
        <f t="shared" si="2"/>
        <v/>
      </c>
    </row>
    <row r="172" spans="18:18" x14ac:dyDescent="0.3">
      <c r="R172" t="str">
        <f t="shared" si="2"/>
        <v/>
      </c>
    </row>
    <row r="173" spans="18:18" x14ac:dyDescent="0.3">
      <c r="R173" t="str">
        <f t="shared" si="2"/>
        <v/>
      </c>
    </row>
    <row r="174" spans="18:18" x14ac:dyDescent="0.3">
      <c r="R174" t="str">
        <f t="shared" si="2"/>
        <v/>
      </c>
    </row>
    <row r="175" spans="18:18" x14ac:dyDescent="0.3">
      <c r="R175" t="str">
        <f t="shared" si="2"/>
        <v/>
      </c>
    </row>
    <row r="176" spans="18:18" x14ac:dyDescent="0.3">
      <c r="R176" t="str">
        <f t="shared" si="2"/>
        <v/>
      </c>
    </row>
    <row r="177" spans="18:18" x14ac:dyDescent="0.3">
      <c r="R177" t="str">
        <f t="shared" si="2"/>
        <v/>
      </c>
    </row>
    <row r="178" spans="18:18" x14ac:dyDescent="0.3">
      <c r="R178" t="str">
        <f t="shared" si="2"/>
        <v/>
      </c>
    </row>
    <row r="179" spans="18:18" x14ac:dyDescent="0.3">
      <c r="R179" t="str">
        <f t="shared" si="2"/>
        <v/>
      </c>
    </row>
    <row r="180" spans="18:18" x14ac:dyDescent="0.3">
      <c r="R180" t="str">
        <f t="shared" si="2"/>
        <v/>
      </c>
    </row>
    <row r="181" spans="18:18" x14ac:dyDescent="0.3">
      <c r="R181" t="str">
        <f t="shared" si="2"/>
        <v/>
      </c>
    </row>
    <row r="182" spans="18:18" x14ac:dyDescent="0.3">
      <c r="R182" t="str">
        <f t="shared" si="2"/>
        <v/>
      </c>
    </row>
    <row r="183" spans="18:18" x14ac:dyDescent="0.3">
      <c r="R183" t="str">
        <f t="shared" si="2"/>
        <v/>
      </c>
    </row>
    <row r="184" spans="18:18" x14ac:dyDescent="0.3">
      <c r="R184" t="str">
        <f t="shared" si="2"/>
        <v/>
      </c>
    </row>
    <row r="185" spans="18:18" x14ac:dyDescent="0.3">
      <c r="R185" t="str">
        <f t="shared" si="2"/>
        <v/>
      </c>
    </row>
    <row r="186" spans="18:18" x14ac:dyDescent="0.3">
      <c r="R186" t="str">
        <f t="shared" si="2"/>
        <v/>
      </c>
    </row>
    <row r="187" spans="18:18" x14ac:dyDescent="0.3">
      <c r="R187" t="str">
        <f t="shared" si="2"/>
        <v/>
      </c>
    </row>
    <row r="188" spans="18:18" x14ac:dyDescent="0.3">
      <c r="R188" t="str">
        <f t="shared" si="2"/>
        <v/>
      </c>
    </row>
    <row r="189" spans="18:18" x14ac:dyDescent="0.3">
      <c r="R189" t="str">
        <f t="shared" si="2"/>
        <v/>
      </c>
    </row>
    <row r="190" spans="18:18" x14ac:dyDescent="0.3">
      <c r="R190" t="str">
        <f t="shared" si="2"/>
        <v/>
      </c>
    </row>
    <row r="191" spans="18:18" x14ac:dyDescent="0.3">
      <c r="R191" t="str">
        <f t="shared" si="2"/>
        <v/>
      </c>
    </row>
    <row r="192" spans="18:18" x14ac:dyDescent="0.3">
      <c r="R192" t="str">
        <f t="shared" si="2"/>
        <v/>
      </c>
    </row>
    <row r="193" spans="18:18" x14ac:dyDescent="0.3">
      <c r="R193" t="str">
        <f t="shared" si="2"/>
        <v/>
      </c>
    </row>
    <row r="194" spans="18:18" x14ac:dyDescent="0.3">
      <c r="R194" t="str">
        <f t="shared" ref="R194:R257" si="3">IF($F194="","",$F194+ROW()/1000000)</f>
        <v/>
      </c>
    </row>
    <row r="195" spans="18:18" x14ac:dyDescent="0.3">
      <c r="R195" t="str">
        <f t="shared" si="3"/>
        <v/>
      </c>
    </row>
    <row r="196" spans="18:18" x14ac:dyDescent="0.3">
      <c r="R196" t="str">
        <f t="shared" si="3"/>
        <v/>
      </c>
    </row>
    <row r="197" spans="18:18" x14ac:dyDescent="0.3">
      <c r="R197" t="str">
        <f t="shared" si="3"/>
        <v/>
      </c>
    </row>
    <row r="198" spans="18:18" x14ac:dyDescent="0.3">
      <c r="R198" t="str">
        <f t="shared" si="3"/>
        <v/>
      </c>
    </row>
    <row r="199" spans="18:18" x14ac:dyDescent="0.3">
      <c r="R199" t="str">
        <f t="shared" si="3"/>
        <v/>
      </c>
    </row>
    <row r="200" spans="18:18" x14ac:dyDescent="0.3">
      <c r="R200" t="str">
        <f t="shared" si="3"/>
        <v/>
      </c>
    </row>
    <row r="201" spans="18:18" x14ac:dyDescent="0.3">
      <c r="R201" t="str">
        <f t="shared" si="3"/>
        <v/>
      </c>
    </row>
    <row r="202" spans="18:18" x14ac:dyDescent="0.3">
      <c r="R202" t="str">
        <f t="shared" si="3"/>
        <v/>
      </c>
    </row>
    <row r="203" spans="18:18" x14ac:dyDescent="0.3">
      <c r="R203" t="str">
        <f t="shared" si="3"/>
        <v/>
      </c>
    </row>
    <row r="204" spans="18:18" x14ac:dyDescent="0.3">
      <c r="R204" t="str">
        <f t="shared" si="3"/>
        <v/>
      </c>
    </row>
    <row r="205" spans="18:18" x14ac:dyDescent="0.3">
      <c r="R205" t="str">
        <f t="shared" si="3"/>
        <v/>
      </c>
    </row>
    <row r="206" spans="18:18" x14ac:dyDescent="0.3">
      <c r="R206" t="str">
        <f t="shared" si="3"/>
        <v/>
      </c>
    </row>
    <row r="207" spans="18:18" x14ac:dyDescent="0.3">
      <c r="R207" t="str">
        <f t="shared" si="3"/>
        <v/>
      </c>
    </row>
    <row r="208" spans="18:18" x14ac:dyDescent="0.3">
      <c r="R208" t="str">
        <f t="shared" si="3"/>
        <v/>
      </c>
    </row>
    <row r="209" spans="18:18" x14ac:dyDescent="0.3">
      <c r="R209" t="str">
        <f t="shared" si="3"/>
        <v/>
      </c>
    </row>
    <row r="210" spans="18:18" x14ac:dyDescent="0.3">
      <c r="R210" t="str">
        <f t="shared" si="3"/>
        <v/>
      </c>
    </row>
    <row r="211" spans="18:18" x14ac:dyDescent="0.3">
      <c r="R211" t="str">
        <f t="shared" si="3"/>
        <v/>
      </c>
    </row>
    <row r="212" spans="18:18" x14ac:dyDescent="0.3">
      <c r="R212" t="str">
        <f t="shared" si="3"/>
        <v/>
      </c>
    </row>
    <row r="213" spans="18:18" x14ac:dyDescent="0.3">
      <c r="R213" t="str">
        <f t="shared" si="3"/>
        <v/>
      </c>
    </row>
    <row r="214" spans="18:18" x14ac:dyDescent="0.3">
      <c r="R214" t="str">
        <f t="shared" si="3"/>
        <v/>
      </c>
    </row>
    <row r="215" spans="18:18" x14ac:dyDescent="0.3">
      <c r="R215" t="str">
        <f t="shared" si="3"/>
        <v/>
      </c>
    </row>
    <row r="216" spans="18:18" x14ac:dyDescent="0.3">
      <c r="R216" t="str">
        <f t="shared" si="3"/>
        <v/>
      </c>
    </row>
    <row r="217" spans="18:18" x14ac:dyDescent="0.3">
      <c r="R217" t="str">
        <f t="shared" si="3"/>
        <v/>
      </c>
    </row>
    <row r="218" spans="18:18" x14ac:dyDescent="0.3">
      <c r="R218" t="str">
        <f t="shared" si="3"/>
        <v/>
      </c>
    </row>
    <row r="219" spans="18:18" x14ac:dyDescent="0.3">
      <c r="R219" t="str">
        <f t="shared" si="3"/>
        <v/>
      </c>
    </row>
    <row r="220" spans="18:18" x14ac:dyDescent="0.3">
      <c r="R220" t="str">
        <f t="shared" si="3"/>
        <v/>
      </c>
    </row>
    <row r="221" spans="18:18" x14ac:dyDescent="0.3">
      <c r="R221" t="str">
        <f t="shared" si="3"/>
        <v/>
      </c>
    </row>
    <row r="222" spans="18:18" x14ac:dyDescent="0.3">
      <c r="R222" t="str">
        <f t="shared" si="3"/>
        <v/>
      </c>
    </row>
    <row r="223" spans="18:18" x14ac:dyDescent="0.3">
      <c r="R223" t="str">
        <f t="shared" si="3"/>
        <v/>
      </c>
    </row>
    <row r="224" spans="18:18" x14ac:dyDescent="0.3">
      <c r="R224" t="str">
        <f t="shared" si="3"/>
        <v/>
      </c>
    </row>
    <row r="225" spans="18:18" x14ac:dyDescent="0.3">
      <c r="R225" t="str">
        <f t="shared" si="3"/>
        <v/>
      </c>
    </row>
    <row r="226" spans="18:18" x14ac:dyDescent="0.3">
      <c r="R226" t="str">
        <f t="shared" si="3"/>
        <v/>
      </c>
    </row>
    <row r="227" spans="18:18" x14ac:dyDescent="0.3">
      <c r="R227" t="str">
        <f t="shared" si="3"/>
        <v/>
      </c>
    </row>
    <row r="228" spans="18:18" x14ac:dyDescent="0.3">
      <c r="R228" t="str">
        <f t="shared" si="3"/>
        <v/>
      </c>
    </row>
    <row r="229" spans="18:18" x14ac:dyDescent="0.3">
      <c r="R229" t="str">
        <f t="shared" si="3"/>
        <v/>
      </c>
    </row>
    <row r="230" spans="18:18" x14ac:dyDescent="0.3">
      <c r="R230" t="str">
        <f t="shared" si="3"/>
        <v/>
      </c>
    </row>
    <row r="231" spans="18:18" x14ac:dyDescent="0.3">
      <c r="R231" t="str">
        <f t="shared" si="3"/>
        <v/>
      </c>
    </row>
    <row r="232" spans="18:18" x14ac:dyDescent="0.3">
      <c r="R232" t="str">
        <f t="shared" si="3"/>
        <v/>
      </c>
    </row>
    <row r="233" spans="18:18" x14ac:dyDescent="0.3">
      <c r="R233" t="str">
        <f t="shared" si="3"/>
        <v/>
      </c>
    </row>
    <row r="234" spans="18:18" x14ac:dyDescent="0.3">
      <c r="R234" t="str">
        <f t="shared" si="3"/>
        <v/>
      </c>
    </row>
    <row r="235" spans="18:18" x14ac:dyDescent="0.3">
      <c r="R235" t="str">
        <f t="shared" si="3"/>
        <v/>
      </c>
    </row>
    <row r="236" spans="18:18" x14ac:dyDescent="0.3">
      <c r="R236" t="str">
        <f t="shared" si="3"/>
        <v/>
      </c>
    </row>
    <row r="237" spans="18:18" x14ac:dyDescent="0.3">
      <c r="R237" t="str">
        <f t="shared" si="3"/>
        <v/>
      </c>
    </row>
    <row r="238" spans="18:18" x14ac:dyDescent="0.3">
      <c r="R238" t="str">
        <f t="shared" si="3"/>
        <v/>
      </c>
    </row>
    <row r="239" spans="18:18" x14ac:dyDescent="0.3">
      <c r="R239" t="str">
        <f t="shared" si="3"/>
        <v/>
      </c>
    </row>
    <row r="240" spans="18:18" x14ac:dyDescent="0.3">
      <c r="R240" t="str">
        <f t="shared" si="3"/>
        <v/>
      </c>
    </row>
    <row r="241" spans="18:18" x14ac:dyDescent="0.3">
      <c r="R241" t="str">
        <f t="shared" si="3"/>
        <v/>
      </c>
    </row>
    <row r="242" spans="18:18" x14ac:dyDescent="0.3">
      <c r="R242" t="str">
        <f t="shared" si="3"/>
        <v/>
      </c>
    </row>
    <row r="243" spans="18:18" x14ac:dyDescent="0.3">
      <c r="R243" t="str">
        <f t="shared" si="3"/>
        <v/>
      </c>
    </row>
    <row r="244" spans="18:18" x14ac:dyDescent="0.3">
      <c r="R244" t="str">
        <f t="shared" si="3"/>
        <v/>
      </c>
    </row>
    <row r="245" spans="18:18" x14ac:dyDescent="0.3">
      <c r="R245" t="str">
        <f t="shared" si="3"/>
        <v/>
      </c>
    </row>
    <row r="246" spans="18:18" x14ac:dyDescent="0.3">
      <c r="R246" t="str">
        <f t="shared" si="3"/>
        <v/>
      </c>
    </row>
    <row r="247" spans="18:18" x14ac:dyDescent="0.3">
      <c r="R247" t="str">
        <f t="shared" si="3"/>
        <v/>
      </c>
    </row>
    <row r="248" spans="18:18" x14ac:dyDescent="0.3">
      <c r="R248" t="str">
        <f t="shared" si="3"/>
        <v/>
      </c>
    </row>
    <row r="249" spans="18:18" x14ac:dyDescent="0.3">
      <c r="R249" t="str">
        <f t="shared" si="3"/>
        <v/>
      </c>
    </row>
    <row r="250" spans="18:18" x14ac:dyDescent="0.3">
      <c r="R250" t="str">
        <f t="shared" si="3"/>
        <v/>
      </c>
    </row>
    <row r="251" spans="18:18" x14ac:dyDescent="0.3">
      <c r="R251" t="str">
        <f t="shared" si="3"/>
        <v/>
      </c>
    </row>
    <row r="252" spans="18:18" x14ac:dyDescent="0.3">
      <c r="R252" t="str">
        <f t="shared" si="3"/>
        <v/>
      </c>
    </row>
    <row r="253" spans="18:18" x14ac:dyDescent="0.3">
      <c r="R253" t="str">
        <f t="shared" si="3"/>
        <v/>
      </c>
    </row>
    <row r="254" spans="18:18" x14ac:dyDescent="0.3">
      <c r="R254" t="str">
        <f t="shared" si="3"/>
        <v/>
      </c>
    </row>
    <row r="255" spans="18:18" x14ac:dyDescent="0.3">
      <c r="R255" t="str">
        <f t="shared" si="3"/>
        <v/>
      </c>
    </row>
    <row r="256" spans="18:18" x14ac:dyDescent="0.3">
      <c r="R256" t="str">
        <f t="shared" si="3"/>
        <v/>
      </c>
    </row>
    <row r="257" spans="18:18" x14ac:dyDescent="0.3">
      <c r="R257" t="str">
        <f t="shared" si="3"/>
        <v/>
      </c>
    </row>
    <row r="258" spans="18:18" x14ac:dyDescent="0.3">
      <c r="R258" t="str">
        <f t="shared" ref="R258:R321" si="4">IF($F258="","",$F258+ROW()/1000000)</f>
        <v/>
      </c>
    </row>
    <row r="259" spans="18:18" x14ac:dyDescent="0.3">
      <c r="R259" t="str">
        <f t="shared" si="4"/>
        <v/>
      </c>
    </row>
    <row r="260" spans="18:18" x14ac:dyDescent="0.3">
      <c r="R260" t="str">
        <f t="shared" si="4"/>
        <v/>
      </c>
    </row>
    <row r="261" spans="18:18" x14ac:dyDescent="0.3">
      <c r="R261" t="str">
        <f t="shared" si="4"/>
        <v/>
      </c>
    </row>
    <row r="262" spans="18:18" x14ac:dyDescent="0.3">
      <c r="R262" t="str">
        <f t="shared" si="4"/>
        <v/>
      </c>
    </row>
    <row r="263" spans="18:18" x14ac:dyDescent="0.3">
      <c r="R263" t="str">
        <f t="shared" si="4"/>
        <v/>
      </c>
    </row>
    <row r="264" spans="18:18" x14ac:dyDescent="0.3">
      <c r="R264" t="str">
        <f t="shared" si="4"/>
        <v/>
      </c>
    </row>
    <row r="265" spans="18:18" x14ac:dyDescent="0.3">
      <c r="R265" t="str">
        <f t="shared" si="4"/>
        <v/>
      </c>
    </row>
    <row r="266" spans="18:18" x14ac:dyDescent="0.3">
      <c r="R266" t="str">
        <f t="shared" si="4"/>
        <v/>
      </c>
    </row>
    <row r="267" spans="18:18" x14ac:dyDescent="0.3">
      <c r="R267" t="str">
        <f t="shared" si="4"/>
        <v/>
      </c>
    </row>
    <row r="268" spans="18:18" x14ac:dyDescent="0.3">
      <c r="R268" t="str">
        <f t="shared" si="4"/>
        <v/>
      </c>
    </row>
    <row r="269" spans="18:18" x14ac:dyDescent="0.3">
      <c r="R269" t="str">
        <f t="shared" si="4"/>
        <v/>
      </c>
    </row>
    <row r="270" spans="18:18" x14ac:dyDescent="0.3">
      <c r="R270" t="str">
        <f t="shared" si="4"/>
        <v/>
      </c>
    </row>
    <row r="271" spans="18:18" x14ac:dyDescent="0.3">
      <c r="R271" t="str">
        <f t="shared" si="4"/>
        <v/>
      </c>
    </row>
    <row r="272" spans="18:18" x14ac:dyDescent="0.3">
      <c r="R272" t="str">
        <f t="shared" si="4"/>
        <v/>
      </c>
    </row>
    <row r="273" spans="18:18" x14ac:dyDescent="0.3">
      <c r="R273" t="str">
        <f t="shared" si="4"/>
        <v/>
      </c>
    </row>
    <row r="274" spans="18:18" x14ac:dyDescent="0.3">
      <c r="R274" t="str">
        <f t="shared" si="4"/>
        <v/>
      </c>
    </row>
    <row r="275" spans="18:18" x14ac:dyDescent="0.3">
      <c r="R275" t="str">
        <f t="shared" si="4"/>
        <v/>
      </c>
    </row>
    <row r="276" spans="18:18" x14ac:dyDescent="0.3">
      <c r="R276" t="str">
        <f t="shared" si="4"/>
        <v/>
      </c>
    </row>
    <row r="277" spans="18:18" x14ac:dyDescent="0.3">
      <c r="R277" t="str">
        <f t="shared" si="4"/>
        <v/>
      </c>
    </row>
    <row r="278" spans="18:18" x14ac:dyDescent="0.3">
      <c r="R278" t="str">
        <f t="shared" si="4"/>
        <v/>
      </c>
    </row>
    <row r="279" spans="18:18" x14ac:dyDescent="0.3">
      <c r="R279" t="str">
        <f t="shared" si="4"/>
        <v/>
      </c>
    </row>
    <row r="280" spans="18:18" x14ac:dyDescent="0.3">
      <c r="R280" t="str">
        <f t="shared" si="4"/>
        <v/>
      </c>
    </row>
    <row r="281" spans="18:18" x14ac:dyDescent="0.3">
      <c r="R281" t="str">
        <f t="shared" si="4"/>
        <v/>
      </c>
    </row>
    <row r="282" spans="18:18" x14ac:dyDescent="0.3">
      <c r="R282" t="str">
        <f t="shared" si="4"/>
        <v/>
      </c>
    </row>
    <row r="283" spans="18:18" x14ac:dyDescent="0.3">
      <c r="R283" t="str">
        <f t="shared" si="4"/>
        <v/>
      </c>
    </row>
    <row r="284" spans="18:18" x14ac:dyDescent="0.3">
      <c r="R284" t="str">
        <f t="shared" si="4"/>
        <v/>
      </c>
    </row>
    <row r="285" spans="18:18" x14ac:dyDescent="0.3">
      <c r="R285" t="str">
        <f t="shared" si="4"/>
        <v/>
      </c>
    </row>
    <row r="286" spans="18:18" x14ac:dyDescent="0.3">
      <c r="R286" t="str">
        <f t="shared" si="4"/>
        <v/>
      </c>
    </row>
    <row r="287" spans="18:18" x14ac:dyDescent="0.3">
      <c r="R287" t="str">
        <f t="shared" si="4"/>
        <v/>
      </c>
    </row>
    <row r="288" spans="18:18" x14ac:dyDescent="0.3">
      <c r="R288" t="str">
        <f t="shared" si="4"/>
        <v/>
      </c>
    </row>
    <row r="289" spans="18:18" x14ac:dyDescent="0.3">
      <c r="R289" t="str">
        <f t="shared" si="4"/>
        <v/>
      </c>
    </row>
    <row r="290" spans="18:18" x14ac:dyDescent="0.3">
      <c r="R290" t="str">
        <f t="shared" si="4"/>
        <v/>
      </c>
    </row>
    <row r="291" spans="18:18" x14ac:dyDescent="0.3">
      <c r="R291" t="str">
        <f t="shared" si="4"/>
        <v/>
      </c>
    </row>
    <row r="292" spans="18:18" x14ac:dyDescent="0.3">
      <c r="R292" t="str">
        <f t="shared" si="4"/>
        <v/>
      </c>
    </row>
    <row r="293" spans="18:18" x14ac:dyDescent="0.3">
      <c r="R293" t="str">
        <f t="shared" si="4"/>
        <v/>
      </c>
    </row>
    <row r="294" spans="18:18" x14ac:dyDescent="0.3">
      <c r="R294" t="str">
        <f t="shared" si="4"/>
        <v/>
      </c>
    </row>
    <row r="295" spans="18:18" x14ac:dyDescent="0.3">
      <c r="R295" t="str">
        <f t="shared" si="4"/>
        <v/>
      </c>
    </row>
    <row r="296" spans="18:18" x14ac:dyDescent="0.3">
      <c r="R296" t="str">
        <f t="shared" si="4"/>
        <v/>
      </c>
    </row>
    <row r="297" spans="18:18" x14ac:dyDescent="0.3">
      <c r="R297" t="str">
        <f t="shared" si="4"/>
        <v/>
      </c>
    </row>
    <row r="298" spans="18:18" x14ac:dyDescent="0.3">
      <c r="R298" t="str">
        <f t="shared" si="4"/>
        <v/>
      </c>
    </row>
    <row r="299" spans="18:18" x14ac:dyDescent="0.3">
      <c r="R299" t="str">
        <f t="shared" si="4"/>
        <v/>
      </c>
    </row>
    <row r="300" spans="18:18" x14ac:dyDescent="0.3">
      <c r="R300" t="str">
        <f t="shared" si="4"/>
        <v/>
      </c>
    </row>
    <row r="301" spans="18:18" x14ac:dyDescent="0.3">
      <c r="R301" t="str">
        <f t="shared" si="4"/>
        <v/>
      </c>
    </row>
    <row r="302" spans="18:18" x14ac:dyDescent="0.3">
      <c r="R302" t="str">
        <f t="shared" si="4"/>
        <v/>
      </c>
    </row>
    <row r="303" spans="18:18" x14ac:dyDescent="0.3">
      <c r="R303" t="str">
        <f t="shared" si="4"/>
        <v/>
      </c>
    </row>
    <row r="304" spans="18:18" x14ac:dyDescent="0.3">
      <c r="R304" t="str">
        <f t="shared" si="4"/>
        <v/>
      </c>
    </row>
    <row r="305" spans="18:18" x14ac:dyDescent="0.3">
      <c r="R305" t="str">
        <f t="shared" si="4"/>
        <v/>
      </c>
    </row>
    <row r="306" spans="18:18" x14ac:dyDescent="0.3">
      <c r="R306" t="str">
        <f t="shared" si="4"/>
        <v/>
      </c>
    </row>
    <row r="307" spans="18:18" x14ac:dyDescent="0.3">
      <c r="R307" t="str">
        <f t="shared" si="4"/>
        <v/>
      </c>
    </row>
    <row r="308" spans="18:18" x14ac:dyDescent="0.3">
      <c r="R308" t="str">
        <f t="shared" si="4"/>
        <v/>
      </c>
    </row>
    <row r="309" spans="18:18" x14ac:dyDescent="0.3">
      <c r="R309" t="str">
        <f t="shared" si="4"/>
        <v/>
      </c>
    </row>
    <row r="310" spans="18:18" x14ac:dyDescent="0.3">
      <c r="R310" t="str">
        <f t="shared" si="4"/>
        <v/>
      </c>
    </row>
    <row r="311" spans="18:18" x14ac:dyDescent="0.3">
      <c r="R311" t="str">
        <f t="shared" si="4"/>
        <v/>
      </c>
    </row>
    <row r="312" spans="18:18" x14ac:dyDescent="0.3">
      <c r="R312" t="str">
        <f t="shared" si="4"/>
        <v/>
      </c>
    </row>
    <row r="313" spans="18:18" x14ac:dyDescent="0.3">
      <c r="R313" t="str">
        <f t="shared" si="4"/>
        <v/>
      </c>
    </row>
    <row r="314" spans="18:18" x14ac:dyDescent="0.3">
      <c r="R314" t="str">
        <f t="shared" si="4"/>
        <v/>
      </c>
    </row>
    <row r="315" spans="18:18" x14ac:dyDescent="0.3">
      <c r="R315" t="str">
        <f t="shared" si="4"/>
        <v/>
      </c>
    </row>
    <row r="316" spans="18:18" x14ac:dyDescent="0.3">
      <c r="R316" t="str">
        <f t="shared" si="4"/>
        <v/>
      </c>
    </row>
    <row r="317" spans="18:18" x14ac:dyDescent="0.3">
      <c r="R317" t="str">
        <f t="shared" si="4"/>
        <v/>
      </c>
    </row>
    <row r="318" spans="18:18" x14ac:dyDescent="0.3">
      <c r="R318" t="str">
        <f t="shared" si="4"/>
        <v/>
      </c>
    </row>
    <row r="319" spans="18:18" x14ac:dyDescent="0.3">
      <c r="R319" t="str">
        <f t="shared" si="4"/>
        <v/>
      </c>
    </row>
    <row r="320" spans="18:18" x14ac:dyDescent="0.3">
      <c r="R320" t="str">
        <f t="shared" si="4"/>
        <v/>
      </c>
    </row>
    <row r="321" spans="18:18" x14ac:dyDescent="0.3">
      <c r="R321" t="str">
        <f t="shared" si="4"/>
        <v/>
      </c>
    </row>
    <row r="322" spans="18:18" x14ac:dyDescent="0.3">
      <c r="R322" t="str">
        <f t="shared" ref="R322:R385" si="5">IF($F322="","",$F322+ROW()/1000000)</f>
        <v/>
      </c>
    </row>
    <row r="323" spans="18:18" x14ac:dyDescent="0.3">
      <c r="R323" t="str">
        <f t="shared" si="5"/>
        <v/>
      </c>
    </row>
    <row r="324" spans="18:18" x14ac:dyDescent="0.3">
      <c r="R324" t="str">
        <f t="shared" si="5"/>
        <v/>
      </c>
    </row>
    <row r="325" spans="18:18" x14ac:dyDescent="0.3">
      <c r="R325" t="str">
        <f t="shared" si="5"/>
        <v/>
      </c>
    </row>
    <row r="326" spans="18:18" x14ac:dyDescent="0.3">
      <c r="R326" t="str">
        <f t="shared" si="5"/>
        <v/>
      </c>
    </row>
    <row r="327" spans="18:18" x14ac:dyDescent="0.3">
      <c r="R327" t="str">
        <f t="shared" si="5"/>
        <v/>
      </c>
    </row>
    <row r="328" spans="18:18" x14ac:dyDescent="0.3">
      <c r="R328" t="str">
        <f t="shared" si="5"/>
        <v/>
      </c>
    </row>
    <row r="329" spans="18:18" x14ac:dyDescent="0.3">
      <c r="R329" t="str">
        <f t="shared" si="5"/>
        <v/>
      </c>
    </row>
    <row r="330" spans="18:18" x14ac:dyDescent="0.3">
      <c r="R330" t="str">
        <f t="shared" si="5"/>
        <v/>
      </c>
    </row>
    <row r="331" spans="18:18" x14ac:dyDescent="0.3">
      <c r="R331" t="str">
        <f t="shared" si="5"/>
        <v/>
      </c>
    </row>
    <row r="332" spans="18:18" x14ac:dyDescent="0.3">
      <c r="R332" t="str">
        <f t="shared" si="5"/>
        <v/>
      </c>
    </row>
    <row r="333" spans="18:18" x14ac:dyDescent="0.3">
      <c r="R333" t="str">
        <f t="shared" si="5"/>
        <v/>
      </c>
    </row>
    <row r="334" spans="18:18" x14ac:dyDescent="0.3">
      <c r="R334" t="str">
        <f t="shared" si="5"/>
        <v/>
      </c>
    </row>
    <row r="335" spans="18:18" x14ac:dyDescent="0.3">
      <c r="R335" t="str">
        <f t="shared" si="5"/>
        <v/>
      </c>
    </row>
    <row r="336" spans="18:18" x14ac:dyDescent="0.3">
      <c r="R336" t="str">
        <f t="shared" si="5"/>
        <v/>
      </c>
    </row>
    <row r="337" spans="18:18" x14ac:dyDescent="0.3">
      <c r="R337" t="str">
        <f t="shared" si="5"/>
        <v/>
      </c>
    </row>
    <row r="338" spans="18:18" x14ac:dyDescent="0.3">
      <c r="R338" t="str">
        <f t="shared" si="5"/>
        <v/>
      </c>
    </row>
    <row r="339" spans="18:18" x14ac:dyDescent="0.3">
      <c r="R339" t="str">
        <f t="shared" si="5"/>
        <v/>
      </c>
    </row>
    <row r="340" spans="18:18" x14ac:dyDescent="0.3">
      <c r="R340" t="str">
        <f t="shared" si="5"/>
        <v/>
      </c>
    </row>
    <row r="341" spans="18:18" x14ac:dyDescent="0.3">
      <c r="R341" t="str">
        <f t="shared" si="5"/>
        <v/>
      </c>
    </row>
    <row r="342" spans="18:18" x14ac:dyDescent="0.3">
      <c r="R342" t="str">
        <f t="shared" si="5"/>
        <v/>
      </c>
    </row>
    <row r="343" spans="18:18" x14ac:dyDescent="0.3">
      <c r="R343" t="str">
        <f t="shared" si="5"/>
        <v/>
      </c>
    </row>
    <row r="344" spans="18:18" x14ac:dyDescent="0.3">
      <c r="R344" t="str">
        <f t="shared" si="5"/>
        <v/>
      </c>
    </row>
    <row r="345" spans="18:18" x14ac:dyDescent="0.3">
      <c r="R345" t="str">
        <f t="shared" si="5"/>
        <v/>
      </c>
    </row>
    <row r="346" spans="18:18" x14ac:dyDescent="0.3">
      <c r="R346" t="str">
        <f t="shared" si="5"/>
        <v/>
      </c>
    </row>
    <row r="347" spans="18:18" x14ac:dyDescent="0.3">
      <c r="R347" t="str">
        <f t="shared" si="5"/>
        <v/>
      </c>
    </row>
    <row r="348" spans="18:18" x14ac:dyDescent="0.3">
      <c r="R348" t="str">
        <f t="shared" si="5"/>
        <v/>
      </c>
    </row>
    <row r="349" spans="18:18" x14ac:dyDescent="0.3">
      <c r="R349" t="str">
        <f t="shared" si="5"/>
        <v/>
      </c>
    </row>
    <row r="350" spans="18:18" x14ac:dyDescent="0.3">
      <c r="R350" t="str">
        <f t="shared" si="5"/>
        <v/>
      </c>
    </row>
    <row r="351" spans="18:18" x14ac:dyDescent="0.3">
      <c r="R351" t="str">
        <f t="shared" si="5"/>
        <v/>
      </c>
    </row>
    <row r="352" spans="18:18" x14ac:dyDescent="0.3">
      <c r="R352" t="str">
        <f t="shared" si="5"/>
        <v/>
      </c>
    </row>
    <row r="353" spans="18:18" x14ac:dyDescent="0.3">
      <c r="R353" t="str">
        <f t="shared" si="5"/>
        <v/>
      </c>
    </row>
    <row r="354" spans="18:18" x14ac:dyDescent="0.3">
      <c r="R354" t="str">
        <f t="shared" si="5"/>
        <v/>
      </c>
    </row>
    <row r="355" spans="18:18" x14ac:dyDescent="0.3">
      <c r="R355" t="str">
        <f t="shared" si="5"/>
        <v/>
      </c>
    </row>
    <row r="356" spans="18:18" x14ac:dyDescent="0.3">
      <c r="R356" t="str">
        <f t="shared" si="5"/>
        <v/>
      </c>
    </row>
    <row r="357" spans="18:18" x14ac:dyDescent="0.3">
      <c r="R357" t="str">
        <f t="shared" si="5"/>
        <v/>
      </c>
    </row>
    <row r="358" spans="18:18" x14ac:dyDescent="0.3">
      <c r="R358" t="str">
        <f t="shared" si="5"/>
        <v/>
      </c>
    </row>
    <row r="359" spans="18:18" x14ac:dyDescent="0.3">
      <c r="R359" t="str">
        <f t="shared" si="5"/>
        <v/>
      </c>
    </row>
    <row r="360" spans="18:18" x14ac:dyDescent="0.3">
      <c r="R360" t="str">
        <f t="shared" si="5"/>
        <v/>
      </c>
    </row>
    <row r="361" spans="18:18" x14ac:dyDescent="0.3">
      <c r="R361" t="str">
        <f t="shared" si="5"/>
        <v/>
      </c>
    </row>
    <row r="362" spans="18:18" x14ac:dyDescent="0.3">
      <c r="R362" t="str">
        <f t="shared" si="5"/>
        <v/>
      </c>
    </row>
    <row r="363" spans="18:18" x14ac:dyDescent="0.3">
      <c r="R363" t="str">
        <f t="shared" si="5"/>
        <v/>
      </c>
    </row>
    <row r="364" spans="18:18" x14ac:dyDescent="0.3">
      <c r="R364" t="str">
        <f t="shared" si="5"/>
        <v/>
      </c>
    </row>
    <row r="365" spans="18:18" x14ac:dyDescent="0.3">
      <c r="R365" t="str">
        <f t="shared" si="5"/>
        <v/>
      </c>
    </row>
    <row r="366" spans="18:18" x14ac:dyDescent="0.3">
      <c r="R366" t="str">
        <f t="shared" si="5"/>
        <v/>
      </c>
    </row>
    <row r="367" spans="18:18" x14ac:dyDescent="0.3">
      <c r="R367" t="str">
        <f t="shared" si="5"/>
        <v/>
      </c>
    </row>
    <row r="368" spans="18:18" x14ac:dyDescent="0.3">
      <c r="R368" t="str">
        <f t="shared" si="5"/>
        <v/>
      </c>
    </row>
    <row r="369" spans="18:18" x14ac:dyDescent="0.3">
      <c r="R369" t="str">
        <f t="shared" si="5"/>
        <v/>
      </c>
    </row>
    <row r="370" spans="18:18" x14ac:dyDescent="0.3">
      <c r="R370" t="str">
        <f t="shared" si="5"/>
        <v/>
      </c>
    </row>
    <row r="371" spans="18:18" x14ac:dyDescent="0.3">
      <c r="R371" t="str">
        <f t="shared" si="5"/>
        <v/>
      </c>
    </row>
    <row r="372" spans="18:18" x14ac:dyDescent="0.3">
      <c r="R372" t="str">
        <f t="shared" si="5"/>
        <v/>
      </c>
    </row>
    <row r="373" spans="18:18" x14ac:dyDescent="0.3">
      <c r="R373" t="str">
        <f t="shared" si="5"/>
        <v/>
      </c>
    </row>
    <row r="374" spans="18:18" x14ac:dyDescent="0.3">
      <c r="R374" t="str">
        <f t="shared" si="5"/>
        <v/>
      </c>
    </row>
    <row r="375" spans="18:18" x14ac:dyDescent="0.3">
      <c r="R375" t="str">
        <f t="shared" si="5"/>
        <v/>
      </c>
    </row>
    <row r="376" spans="18:18" x14ac:dyDescent="0.3">
      <c r="R376" t="str">
        <f t="shared" si="5"/>
        <v/>
      </c>
    </row>
    <row r="377" spans="18:18" x14ac:dyDescent="0.3">
      <c r="R377" t="str">
        <f t="shared" si="5"/>
        <v/>
      </c>
    </row>
    <row r="378" spans="18:18" x14ac:dyDescent="0.3">
      <c r="R378" t="str">
        <f t="shared" si="5"/>
        <v/>
      </c>
    </row>
    <row r="379" spans="18:18" x14ac:dyDescent="0.3">
      <c r="R379" t="str">
        <f t="shared" si="5"/>
        <v/>
      </c>
    </row>
    <row r="380" spans="18:18" x14ac:dyDescent="0.3">
      <c r="R380" t="str">
        <f t="shared" si="5"/>
        <v/>
      </c>
    </row>
    <row r="381" spans="18:18" x14ac:dyDescent="0.3">
      <c r="R381" t="str">
        <f t="shared" si="5"/>
        <v/>
      </c>
    </row>
    <row r="382" spans="18:18" x14ac:dyDescent="0.3">
      <c r="R382" t="str">
        <f t="shared" si="5"/>
        <v/>
      </c>
    </row>
    <row r="383" spans="18:18" x14ac:dyDescent="0.3">
      <c r="R383" t="str">
        <f t="shared" si="5"/>
        <v/>
      </c>
    </row>
    <row r="384" spans="18:18" x14ac:dyDescent="0.3">
      <c r="R384" t="str">
        <f t="shared" si="5"/>
        <v/>
      </c>
    </row>
    <row r="385" spans="18:18" x14ac:dyDescent="0.3">
      <c r="R385" t="str">
        <f t="shared" si="5"/>
        <v/>
      </c>
    </row>
    <row r="386" spans="18:18" x14ac:dyDescent="0.3">
      <c r="R386" t="str">
        <f t="shared" ref="R386:R449" si="6">IF($F386="","",$F386+ROW()/1000000)</f>
        <v/>
      </c>
    </row>
    <row r="387" spans="18:18" x14ac:dyDescent="0.3">
      <c r="R387" t="str">
        <f t="shared" si="6"/>
        <v/>
      </c>
    </row>
    <row r="388" spans="18:18" x14ac:dyDescent="0.3">
      <c r="R388" t="str">
        <f t="shared" si="6"/>
        <v/>
      </c>
    </row>
    <row r="389" spans="18:18" x14ac:dyDescent="0.3">
      <c r="R389" t="str">
        <f t="shared" si="6"/>
        <v/>
      </c>
    </row>
    <row r="390" spans="18:18" x14ac:dyDescent="0.3">
      <c r="R390" t="str">
        <f t="shared" si="6"/>
        <v/>
      </c>
    </row>
    <row r="391" spans="18:18" x14ac:dyDescent="0.3">
      <c r="R391" t="str">
        <f t="shared" si="6"/>
        <v/>
      </c>
    </row>
    <row r="392" spans="18:18" x14ac:dyDescent="0.3">
      <c r="R392" t="str">
        <f t="shared" si="6"/>
        <v/>
      </c>
    </row>
    <row r="393" spans="18:18" x14ac:dyDescent="0.3">
      <c r="R393" t="str">
        <f t="shared" si="6"/>
        <v/>
      </c>
    </row>
    <row r="394" spans="18:18" x14ac:dyDescent="0.3">
      <c r="R394" t="str">
        <f t="shared" si="6"/>
        <v/>
      </c>
    </row>
    <row r="395" spans="18:18" x14ac:dyDescent="0.3">
      <c r="R395" t="str">
        <f t="shared" si="6"/>
        <v/>
      </c>
    </row>
    <row r="396" spans="18:18" x14ac:dyDescent="0.3">
      <c r="R396" t="str">
        <f t="shared" si="6"/>
        <v/>
      </c>
    </row>
    <row r="397" spans="18:18" x14ac:dyDescent="0.3">
      <c r="R397" t="str">
        <f t="shared" si="6"/>
        <v/>
      </c>
    </row>
    <row r="398" spans="18:18" x14ac:dyDescent="0.3">
      <c r="R398" t="str">
        <f t="shared" si="6"/>
        <v/>
      </c>
    </row>
    <row r="399" spans="18:18" x14ac:dyDescent="0.3">
      <c r="R399" t="str">
        <f t="shared" si="6"/>
        <v/>
      </c>
    </row>
    <row r="400" spans="18:18" x14ac:dyDescent="0.3">
      <c r="R400" t="str">
        <f t="shared" si="6"/>
        <v/>
      </c>
    </row>
    <row r="401" spans="18:18" x14ac:dyDescent="0.3">
      <c r="R401" t="str">
        <f t="shared" si="6"/>
        <v/>
      </c>
    </row>
    <row r="402" spans="18:18" x14ac:dyDescent="0.3">
      <c r="R402" t="str">
        <f t="shared" si="6"/>
        <v/>
      </c>
    </row>
    <row r="403" spans="18:18" x14ac:dyDescent="0.3">
      <c r="R403" t="str">
        <f t="shared" si="6"/>
        <v/>
      </c>
    </row>
    <row r="404" spans="18:18" x14ac:dyDescent="0.3">
      <c r="R404" t="str">
        <f t="shared" si="6"/>
        <v/>
      </c>
    </row>
    <row r="405" spans="18:18" x14ac:dyDescent="0.3">
      <c r="R405" t="str">
        <f t="shared" si="6"/>
        <v/>
      </c>
    </row>
    <row r="406" spans="18:18" x14ac:dyDescent="0.3">
      <c r="R406" t="str">
        <f t="shared" si="6"/>
        <v/>
      </c>
    </row>
    <row r="407" spans="18:18" x14ac:dyDescent="0.3">
      <c r="R407" t="str">
        <f t="shared" si="6"/>
        <v/>
      </c>
    </row>
    <row r="408" spans="18:18" x14ac:dyDescent="0.3">
      <c r="R408" t="str">
        <f t="shared" si="6"/>
        <v/>
      </c>
    </row>
    <row r="409" spans="18:18" x14ac:dyDescent="0.3">
      <c r="R409" t="str">
        <f t="shared" si="6"/>
        <v/>
      </c>
    </row>
    <row r="410" spans="18:18" x14ac:dyDescent="0.3">
      <c r="R410" t="str">
        <f t="shared" si="6"/>
        <v/>
      </c>
    </row>
    <row r="411" spans="18:18" x14ac:dyDescent="0.3">
      <c r="R411" t="str">
        <f t="shared" si="6"/>
        <v/>
      </c>
    </row>
    <row r="412" spans="18:18" x14ac:dyDescent="0.3">
      <c r="R412" t="str">
        <f t="shared" si="6"/>
        <v/>
      </c>
    </row>
    <row r="413" spans="18:18" x14ac:dyDescent="0.3">
      <c r="R413" t="str">
        <f t="shared" si="6"/>
        <v/>
      </c>
    </row>
    <row r="414" spans="18:18" x14ac:dyDescent="0.3">
      <c r="R414" t="str">
        <f t="shared" si="6"/>
        <v/>
      </c>
    </row>
    <row r="415" spans="18:18" x14ac:dyDescent="0.3">
      <c r="R415" t="str">
        <f t="shared" si="6"/>
        <v/>
      </c>
    </row>
    <row r="416" spans="18:18" x14ac:dyDescent="0.3">
      <c r="R416" t="str">
        <f t="shared" si="6"/>
        <v/>
      </c>
    </row>
    <row r="417" spans="18:18" x14ac:dyDescent="0.3">
      <c r="R417" t="str">
        <f t="shared" si="6"/>
        <v/>
      </c>
    </row>
    <row r="418" spans="18:18" x14ac:dyDescent="0.3">
      <c r="R418" t="str">
        <f t="shared" si="6"/>
        <v/>
      </c>
    </row>
    <row r="419" spans="18:18" x14ac:dyDescent="0.3">
      <c r="R419" t="str">
        <f t="shared" si="6"/>
        <v/>
      </c>
    </row>
    <row r="420" spans="18:18" x14ac:dyDescent="0.3">
      <c r="R420" t="str">
        <f t="shared" si="6"/>
        <v/>
      </c>
    </row>
    <row r="421" spans="18:18" x14ac:dyDescent="0.3">
      <c r="R421" t="str">
        <f t="shared" si="6"/>
        <v/>
      </c>
    </row>
    <row r="422" spans="18:18" x14ac:dyDescent="0.3">
      <c r="R422" t="str">
        <f t="shared" si="6"/>
        <v/>
      </c>
    </row>
    <row r="423" spans="18:18" x14ac:dyDescent="0.3">
      <c r="R423" t="str">
        <f t="shared" si="6"/>
        <v/>
      </c>
    </row>
    <row r="424" spans="18:18" x14ac:dyDescent="0.3">
      <c r="R424" t="str">
        <f t="shared" si="6"/>
        <v/>
      </c>
    </row>
    <row r="425" spans="18:18" x14ac:dyDescent="0.3">
      <c r="R425" t="str">
        <f t="shared" si="6"/>
        <v/>
      </c>
    </row>
    <row r="426" spans="18:18" x14ac:dyDescent="0.3">
      <c r="R426" t="str">
        <f t="shared" si="6"/>
        <v/>
      </c>
    </row>
    <row r="427" spans="18:18" x14ac:dyDescent="0.3">
      <c r="R427" t="str">
        <f t="shared" si="6"/>
        <v/>
      </c>
    </row>
    <row r="428" spans="18:18" x14ac:dyDescent="0.3">
      <c r="R428" t="str">
        <f t="shared" si="6"/>
        <v/>
      </c>
    </row>
    <row r="429" spans="18:18" x14ac:dyDescent="0.3">
      <c r="R429" t="str">
        <f t="shared" si="6"/>
        <v/>
      </c>
    </row>
    <row r="430" spans="18:18" x14ac:dyDescent="0.3">
      <c r="R430" t="str">
        <f t="shared" si="6"/>
        <v/>
      </c>
    </row>
    <row r="431" spans="18:18" x14ac:dyDescent="0.3">
      <c r="R431" t="str">
        <f t="shared" si="6"/>
        <v/>
      </c>
    </row>
    <row r="432" spans="18:18" x14ac:dyDescent="0.3">
      <c r="R432" t="str">
        <f t="shared" si="6"/>
        <v/>
      </c>
    </row>
    <row r="433" spans="18:18" x14ac:dyDescent="0.3">
      <c r="R433" t="str">
        <f t="shared" si="6"/>
        <v/>
      </c>
    </row>
    <row r="434" spans="18:18" x14ac:dyDescent="0.3">
      <c r="R434" t="str">
        <f t="shared" si="6"/>
        <v/>
      </c>
    </row>
    <row r="435" spans="18:18" x14ac:dyDescent="0.3">
      <c r="R435" t="str">
        <f t="shared" si="6"/>
        <v/>
      </c>
    </row>
    <row r="436" spans="18:18" x14ac:dyDescent="0.3">
      <c r="R436" t="str">
        <f t="shared" si="6"/>
        <v/>
      </c>
    </row>
    <row r="437" spans="18:18" x14ac:dyDescent="0.3">
      <c r="R437" t="str">
        <f t="shared" si="6"/>
        <v/>
      </c>
    </row>
    <row r="438" spans="18:18" x14ac:dyDescent="0.3">
      <c r="R438" t="str">
        <f t="shared" si="6"/>
        <v/>
      </c>
    </row>
    <row r="439" spans="18:18" x14ac:dyDescent="0.3">
      <c r="R439" t="str">
        <f t="shared" si="6"/>
        <v/>
      </c>
    </row>
    <row r="440" spans="18:18" x14ac:dyDescent="0.3">
      <c r="R440" t="str">
        <f t="shared" si="6"/>
        <v/>
      </c>
    </row>
    <row r="441" spans="18:18" x14ac:dyDescent="0.3">
      <c r="R441" t="str">
        <f t="shared" si="6"/>
        <v/>
      </c>
    </row>
    <row r="442" spans="18:18" x14ac:dyDescent="0.3">
      <c r="R442" t="str">
        <f t="shared" si="6"/>
        <v/>
      </c>
    </row>
    <row r="443" spans="18:18" x14ac:dyDescent="0.3">
      <c r="R443" t="str">
        <f t="shared" si="6"/>
        <v/>
      </c>
    </row>
    <row r="444" spans="18:18" x14ac:dyDescent="0.3">
      <c r="R444" t="str">
        <f t="shared" si="6"/>
        <v/>
      </c>
    </row>
    <row r="445" spans="18:18" x14ac:dyDescent="0.3">
      <c r="R445" t="str">
        <f t="shared" si="6"/>
        <v/>
      </c>
    </row>
    <row r="446" spans="18:18" x14ac:dyDescent="0.3">
      <c r="R446" t="str">
        <f t="shared" si="6"/>
        <v/>
      </c>
    </row>
    <row r="447" spans="18:18" x14ac:dyDescent="0.3">
      <c r="R447" t="str">
        <f t="shared" si="6"/>
        <v/>
      </c>
    </row>
    <row r="448" spans="18:18" x14ac:dyDescent="0.3">
      <c r="R448" t="str">
        <f t="shared" si="6"/>
        <v/>
      </c>
    </row>
    <row r="449" spans="18:18" x14ac:dyDescent="0.3">
      <c r="R449" t="str">
        <f t="shared" si="6"/>
        <v/>
      </c>
    </row>
    <row r="450" spans="18:18" x14ac:dyDescent="0.3">
      <c r="R450" t="str">
        <f t="shared" ref="R450:R513" si="7">IF($F450="","",$F450+ROW()/1000000)</f>
        <v/>
      </c>
    </row>
    <row r="451" spans="18:18" x14ac:dyDescent="0.3">
      <c r="R451" t="str">
        <f t="shared" si="7"/>
        <v/>
      </c>
    </row>
    <row r="452" spans="18:18" x14ac:dyDescent="0.3">
      <c r="R452" t="str">
        <f t="shared" si="7"/>
        <v/>
      </c>
    </row>
    <row r="453" spans="18:18" x14ac:dyDescent="0.3">
      <c r="R453" t="str">
        <f t="shared" si="7"/>
        <v/>
      </c>
    </row>
    <row r="454" spans="18:18" x14ac:dyDescent="0.3">
      <c r="R454" t="str">
        <f t="shared" si="7"/>
        <v/>
      </c>
    </row>
    <row r="455" spans="18:18" x14ac:dyDescent="0.3">
      <c r="R455" t="str">
        <f t="shared" si="7"/>
        <v/>
      </c>
    </row>
    <row r="456" spans="18:18" x14ac:dyDescent="0.3">
      <c r="R456" t="str">
        <f t="shared" si="7"/>
        <v/>
      </c>
    </row>
    <row r="457" spans="18:18" x14ac:dyDescent="0.3">
      <c r="R457" t="str">
        <f t="shared" si="7"/>
        <v/>
      </c>
    </row>
    <row r="458" spans="18:18" x14ac:dyDescent="0.3">
      <c r="R458" t="str">
        <f t="shared" si="7"/>
        <v/>
      </c>
    </row>
    <row r="459" spans="18:18" x14ac:dyDescent="0.3">
      <c r="R459" t="str">
        <f t="shared" si="7"/>
        <v/>
      </c>
    </row>
    <row r="460" spans="18:18" x14ac:dyDescent="0.3">
      <c r="R460" t="str">
        <f t="shared" si="7"/>
        <v/>
      </c>
    </row>
    <row r="461" spans="18:18" x14ac:dyDescent="0.3">
      <c r="R461" t="str">
        <f t="shared" si="7"/>
        <v/>
      </c>
    </row>
    <row r="462" spans="18:18" x14ac:dyDescent="0.3">
      <c r="R462" t="str">
        <f t="shared" si="7"/>
        <v/>
      </c>
    </row>
    <row r="463" spans="18:18" x14ac:dyDescent="0.3">
      <c r="R463" t="str">
        <f t="shared" si="7"/>
        <v/>
      </c>
    </row>
    <row r="464" spans="18:18" x14ac:dyDescent="0.3">
      <c r="R464" t="str">
        <f t="shared" si="7"/>
        <v/>
      </c>
    </row>
    <row r="465" spans="18:18" x14ac:dyDescent="0.3">
      <c r="R465" t="str">
        <f t="shared" si="7"/>
        <v/>
      </c>
    </row>
    <row r="466" spans="18:18" x14ac:dyDescent="0.3">
      <c r="R466" t="str">
        <f t="shared" si="7"/>
        <v/>
      </c>
    </row>
    <row r="467" spans="18:18" x14ac:dyDescent="0.3">
      <c r="R467" t="str">
        <f t="shared" si="7"/>
        <v/>
      </c>
    </row>
    <row r="468" spans="18:18" x14ac:dyDescent="0.3">
      <c r="R468" t="str">
        <f t="shared" si="7"/>
        <v/>
      </c>
    </row>
    <row r="469" spans="18:18" x14ac:dyDescent="0.3">
      <c r="R469" t="str">
        <f t="shared" si="7"/>
        <v/>
      </c>
    </row>
    <row r="470" spans="18:18" x14ac:dyDescent="0.3">
      <c r="R470" t="str">
        <f t="shared" si="7"/>
        <v/>
      </c>
    </row>
    <row r="471" spans="18:18" x14ac:dyDescent="0.3">
      <c r="R471" t="str">
        <f t="shared" si="7"/>
        <v/>
      </c>
    </row>
    <row r="472" spans="18:18" x14ac:dyDescent="0.3">
      <c r="R472" t="str">
        <f t="shared" si="7"/>
        <v/>
      </c>
    </row>
    <row r="473" spans="18:18" x14ac:dyDescent="0.3">
      <c r="R473" t="str">
        <f t="shared" si="7"/>
        <v/>
      </c>
    </row>
    <row r="474" spans="18:18" x14ac:dyDescent="0.3">
      <c r="R474" t="str">
        <f t="shared" si="7"/>
        <v/>
      </c>
    </row>
    <row r="475" spans="18:18" x14ac:dyDescent="0.3">
      <c r="R475" t="str">
        <f t="shared" si="7"/>
        <v/>
      </c>
    </row>
    <row r="476" spans="18:18" x14ac:dyDescent="0.3">
      <c r="R476" t="str">
        <f t="shared" si="7"/>
        <v/>
      </c>
    </row>
    <row r="477" spans="18:18" x14ac:dyDescent="0.3">
      <c r="R477" t="str">
        <f t="shared" si="7"/>
        <v/>
      </c>
    </row>
    <row r="478" spans="18:18" x14ac:dyDescent="0.3">
      <c r="R478" t="str">
        <f t="shared" si="7"/>
        <v/>
      </c>
    </row>
    <row r="479" spans="18:18" x14ac:dyDescent="0.3">
      <c r="R479" t="str">
        <f t="shared" si="7"/>
        <v/>
      </c>
    </row>
    <row r="480" spans="18:18" x14ac:dyDescent="0.3">
      <c r="R480" t="str">
        <f t="shared" si="7"/>
        <v/>
      </c>
    </row>
    <row r="481" spans="18:18" x14ac:dyDescent="0.3">
      <c r="R481" t="str">
        <f t="shared" si="7"/>
        <v/>
      </c>
    </row>
    <row r="482" spans="18:18" x14ac:dyDescent="0.3">
      <c r="R482" t="str">
        <f t="shared" si="7"/>
        <v/>
      </c>
    </row>
    <row r="483" spans="18:18" x14ac:dyDescent="0.3">
      <c r="R483" t="str">
        <f t="shared" si="7"/>
        <v/>
      </c>
    </row>
    <row r="484" spans="18:18" x14ac:dyDescent="0.3">
      <c r="R484" t="str">
        <f t="shared" si="7"/>
        <v/>
      </c>
    </row>
    <row r="485" spans="18:18" x14ac:dyDescent="0.3">
      <c r="R485" t="str">
        <f t="shared" si="7"/>
        <v/>
      </c>
    </row>
    <row r="486" spans="18:18" x14ac:dyDescent="0.3">
      <c r="R486" t="str">
        <f t="shared" si="7"/>
        <v/>
      </c>
    </row>
    <row r="487" spans="18:18" x14ac:dyDescent="0.3">
      <c r="R487" t="str">
        <f t="shared" si="7"/>
        <v/>
      </c>
    </row>
    <row r="488" spans="18:18" x14ac:dyDescent="0.3">
      <c r="R488" t="str">
        <f t="shared" si="7"/>
        <v/>
      </c>
    </row>
    <row r="489" spans="18:18" x14ac:dyDescent="0.3">
      <c r="R489" t="str">
        <f t="shared" si="7"/>
        <v/>
      </c>
    </row>
    <row r="490" spans="18:18" x14ac:dyDescent="0.3">
      <c r="R490" t="str">
        <f t="shared" si="7"/>
        <v/>
      </c>
    </row>
    <row r="491" spans="18:18" x14ac:dyDescent="0.3">
      <c r="R491" t="str">
        <f t="shared" si="7"/>
        <v/>
      </c>
    </row>
    <row r="492" spans="18:18" x14ac:dyDescent="0.3">
      <c r="R492" t="str">
        <f t="shared" si="7"/>
        <v/>
      </c>
    </row>
    <row r="493" spans="18:18" x14ac:dyDescent="0.3">
      <c r="R493" t="str">
        <f t="shared" si="7"/>
        <v/>
      </c>
    </row>
    <row r="494" spans="18:18" x14ac:dyDescent="0.3">
      <c r="R494" t="str">
        <f t="shared" si="7"/>
        <v/>
      </c>
    </row>
    <row r="495" spans="18:18" x14ac:dyDescent="0.3">
      <c r="R495" t="str">
        <f t="shared" si="7"/>
        <v/>
      </c>
    </row>
    <row r="496" spans="18:18" x14ac:dyDescent="0.3">
      <c r="R496" t="str">
        <f t="shared" si="7"/>
        <v/>
      </c>
    </row>
    <row r="497" spans="18:18" x14ac:dyDescent="0.3">
      <c r="R497" t="str">
        <f t="shared" si="7"/>
        <v/>
      </c>
    </row>
    <row r="498" spans="18:18" x14ac:dyDescent="0.3">
      <c r="R498" t="str">
        <f t="shared" si="7"/>
        <v/>
      </c>
    </row>
    <row r="499" spans="18:18" x14ac:dyDescent="0.3">
      <c r="R499" t="str">
        <f t="shared" si="7"/>
        <v/>
      </c>
    </row>
    <row r="500" spans="18:18" x14ac:dyDescent="0.3">
      <c r="R500" t="str">
        <f t="shared" si="7"/>
        <v/>
      </c>
    </row>
    <row r="501" spans="18:18" x14ac:dyDescent="0.3">
      <c r="R501" t="str">
        <f t="shared" si="7"/>
        <v/>
      </c>
    </row>
    <row r="502" spans="18:18" x14ac:dyDescent="0.3">
      <c r="R502" t="str">
        <f t="shared" si="7"/>
        <v/>
      </c>
    </row>
    <row r="503" spans="18:18" x14ac:dyDescent="0.3">
      <c r="R503" t="str">
        <f t="shared" si="7"/>
        <v/>
      </c>
    </row>
    <row r="504" spans="18:18" x14ac:dyDescent="0.3">
      <c r="R504" t="str">
        <f t="shared" si="7"/>
        <v/>
      </c>
    </row>
    <row r="505" spans="18:18" x14ac:dyDescent="0.3">
      <c r="R505" t="str">
        <f t="shared" si="7"/>
        <v/>
      </c>
    </row>
    <row r="506" spans="18:18" x14ac:dyDescent="0.3">
      <c r="R506" t="str">
        <f t="shared" si="7"/>
        <v/>
      </c>
    </row>
    <row r="507" spans="18:18" x14ac:dyDescent="0.3">
      <c r="R507" t="str">
        <f t="shared" si="7"/>
        <v/>
      </c>
    </row>
    <row r="508" spans="18:18" x14ac:dyDescent="0.3">
      <c r="R508" t="str">
        <f t="shared" si="7"/>
        <v/>
      </c>
    </row>
    <row r="509" spans="18:18" x14ac:dyDescent="0.3">
      <c r="R509" t="str">
        <f t="shared" si="7"/>
        <v/>
      </c>
    </row>
    <row r="510" spans="18:18" x14ac:dyDescent="0.3">
      <c r="R510" t="str">
        <f t="shared" si="7"/>
        <v/>
      </c>
    </row>
    <row r="511" spans="18:18" x14ac:dyDescent="0.3">
      <c r="R511" t="str">
        <f t="shared" si="7"/>
        <v/>
      </c>
    </row>
    <row r="512" spans="18:18" x14ac:dyDescent="0.3">
      <c r="R512" t="str">
        <f t="shared" si="7"/>
        <v/>
      </c>
    </row>
    <row r="513" spans="18:18" x14ac:dyDescent="0.3">
      <c r="R513" t="str">
        <f t="shared" si="7"/>
        <v/>
      </c>
    </row>
    <row r="514" spans="18:18" x14ac:dyDescent="0.3">
      <c r="R514" t="str">
        <f t="shared" ref="R514:R577" si="8">IF($F514="","",$F514+ROW()/1000000)</f>
        <v/>
      </c>
    </row>
    <row r="515" spans="18:18" x14ac:dyDescent="0.3">
      <c r="R515" t="str">
        <f t="shared" si="8"/>
        <v/>
      </c>
    </row>
    <row r="516" spans="18:18" x14ac:dyDescent="0.3">
      <c r="R516" t="str">
        <f t="shared" si="8"/>
        <v/>
      </c>
    </row>
    <row r="517" spans="18:18" x14ac:dyDescent="0.3">
      <c r="R517" t="str">
        <f t="shared" si="8"/>
        <v/>
      </c>
    </row>
    <row r="518" spans="18:18" x14ac:dyDescent="0.3">
      <c r="R518" t="str">
        <f t="shared" si="8"/>
        <v/>
      </c>
    </row>
    <row r="519" spans="18:18" x14ac:dyDescent="0.3">
      <c r="R519" t="str">
        <f t="shared" si="8"/>
        <v/>
      </c>
    </row>
    <row r="520" spans="18:18" x14ac:dyDescent="0.3">
      <c r="R520" t="str">
        <f t="shared" si="8"/>
        <v/>
      </c>
    </row>
    <row r="521" spans="18:18" x14ac:dyDescent="0.3">
      <c r="R521" t="str">
        <f t="shared" si="8"/>
        <v/>
      </c>
    </row>
    <row r="522" spans="18:18" x14ac:dyDescent="0.3">
      <c r="R522" t="str">
        <f t="shared" si="8"/>
        <v/>
      </c>
    </row>
    <row r="523" spans="18:18" x14ac:dyDescent="0.3">
      <c r="R523" t="str">
        <f t="shared" si="8"/>
        <v/>
      </c>
    </row>
    <row r="524" spans="18:18" x14ac:dyDescent="0.3">
      <c r="R524" t="str">
        <f t="shared" si="8"/>
        <v/>
      </c>
    </row>
    <row r="525" spans="18:18" x14ac:dyDescent="0.3">
      <c r="R525" t="str">
        <f t="shared" si="8"/>
        <v/>
      </c>
    </row>
    <row r="526" spans="18:18" x14ac:dyDescent="0.3">
      <c r="R526" t="str">
        <f t="shared" si="8"/>
        <v/>
      </c>
    </row>
    <row r="527" spans="18:18" x14ac:dyDescent="0.3">
      <c r="R527" t="str">
        <f t="shared" si="8"/>
        <v/>
      </c>
    </row>
    <row r="528" spans="18:18" x14ac:dyDescent="0.3">
      <c r="R528" t="str">
        <f t="shared" si="8"/>
        <v/>
      </c>
    </row>
    <row r="529" spans="18:18" x14ac:dyDescent="0.3">
      <c r="R529" t="str">
        <f t="shared" si="8"/>
        <v/>
      </c>
    </row>
    <row r="530" spans="18:18" x14ac:dyDescent="0.3">
      <c r="R530" t="str">
        <f t="shared" si="8"/>
        <v/>
      </c>
    </row>
    <row r="531" spans="18:18" x14ac:dyDescent="0.3">
      <c r="R531" t="str">
        <f t="shared" si="8"/>
        <v/>
      </c>
    </row>
    <row r="532" spans="18:18" x14ac:dyDescent="0.3">
      <c r="R532" t="str">
        <f t="shared" si="8"/>
        <v/>
      </c>
    </row>
    <row r="533" spans="18:18" x14ac:dyDescent="0.3">
      <c r="R533" t="str">
        <f t="shared" si="8"/>
        <v/>
      </c>
    </row>
    <row r="534" spans="18:18" x14ac:dyDescent="0.3">
      <c r="R534" t="str">
        <f t="shared" si="8"/>
        <v/>
      </c>
    </row>
    <row r="535" spans="18:18" x14ac:dyDescent="0.3">
      <c r="R535" t="str">
        <f t="shared" si="8"/>
        <v/>
      </c>
    </row>
    <row r="536" spans="18:18" x14ac:dyDescent="0.3">
      <c r="R536" t="str">
        <f t="shared" si="8"/>
        <v/>
      </c>
    </row>
    <row r="537" spans="18:18" x14ac:dyDescent="0.3">
      <c r="R537" t="str">
        <f t="shared" si="8"/>
        <v/>
      </c>
    </row>
    <row r="538" spans="18:18" x14ac:dyDescent="0.3">
      <c r="R538" t="str">
        <f t="shared" si="8"/>
        <v/>
      </c>
    </row>
    <row r="539" spans="18:18" x14ac:dyDescent="0.3">
      <c r="R539" t="str">
        <f t="shared" si="8"/>
        <v/>
      </c>
    </row>
    <row r="540" spans="18:18" x14ac:dyDescent="0.3">
      <c r="R540" t="str">
        <f t="shared" si="8"/>
        <v/>
      </c>
    </row>
    <row r="541" spans="18:18" x14ac:dyDescent="0.3">
      <c r="R541" t="str">
        <f t="shared" si="8"/>
        <v/>
      </c>
    </row>
    <row r="542" spans="18:18" x14ac:dyDescent="0.3">
      <c r="R542" t="str">
        <f t="shared" si="8"/>
        <v/>
      </c>
    </row>
    <row r="543" spans="18:18" x14ac:dyDescent="0.3">
      <c r="R543" t="str">
        <f t="shared" si="8"/>
        <v/>
      </c>
    </row>
    <row r="544" spans="18:18" x14ac:dyDescent="0.3">
      <c r="R544" t="str">
        <f t="shared" si="8"/>
        <v/>
      </c>
    </row>
    <row r="545" spans="18:18" x14ac:dyDescent="0.3">
      <c r="R545" t="str">
        <f t="shared" si="8"/>
        <v/>
      </c>
    </row>
    <row r="546" spans="18:18" x14ac:dyDescent="0.3">
      <c r="R546" t="str">
        <f t="shared" si="8"/>
        <v/>
      </c>
    </row>
    <row r="547" spans="18:18" x14ac:dyDescent="0.3">
      <c r="R547" t="str">
        <f t="shared" si="8"/>
        <v/>
      </c>
    </row>
    <row r="548" spans="18:18" x14ac:dyDescent="0.3">
      <c r="R548" t="str">
        <f t="shared" si="8"/>
        <v/>
      </c>
    </row>
    <row r="549" spans="18:18" x14ac:dyDescent="0.3">
      <c r="R549" t="str">
        <f t="shared" si="8"/>
        <v/>
      </c>
    </row>
    <row r="550" spans="18:18" x14ac:dyDescent="0.3">
      <c r="R550" t="str">
        <f t="shared" si="8"/>
        <v/>
      </c>
    </row>
    <row r="551" spans="18:18" x14ac:dyDescent="0.3">
      <c r="R551" t="str">
        <f t="shared" si="8"/>
        <v/>
      </c>
    </row>
    <row r="552" spans="18:18" x14ac:dyDescent="0.3">
      <c r="R552" t="str">
        <f t="shared" si="8"/>
        <v/>
      </c>
    </row>
    <row r="553" spans="18:18" x14ac:dyDescent="0.3">
      <c r="R553" t="str">
        <f t="shared" si="8"/>
        <v/>
      </c>
    </row>
    <row r="554" spans="18:18" x14ac:dyDescent="0.3">
      <c r="R554" t="str">
        <f t="shared" si="8"/>
        <v/>
      </c>
    </row>
    <row r="555" spans="18:18" x14ac:dyDescent="0.3">
      <c r="R555" t="str">
        <f t="shared" si="8"/>
        <v/>
      </c>
    </row>
    <row r="556" spans="18:18" x14ac:dyDescent="0.3">
      <c r="R556" t="str">
        <f t="shared" si="8"/>
        <v/>
      </c>
    </row>
    <row r="557" spans="18:18" x14ac:dyDescent="0.3">
      <c r="R557" t="str">
        <f t="shared" si="8"/>
        <v/>
      </c>
    </row>
    <row r="558" spans="18:18" x14ac:dyDescent="0.3">
      <c r="R558" t="str">
        <f t="shared" si="8"/>
        <v/>
      </c>
    </row>
    <row r="559" spans="18:18" x14ac:dyDescent="0.3">
      <c r="R559" t="str">
        <f t="shared" si="8"/>
        <v/>
      </c>
    </row>
    <row r="560" spans="18:18" x14ac:dyDescent="0.3">
      <c r="R560" t="str">
        <f t="shared" si="8"/>
        <v/>
      </c>
    </row>
    <row r="561" spans="18:18" x14ac:dyDescent="0.3">
      <c r="R561" t="str">
        <f t="shared" si="8"/>
        <v/>
      </c>
    </row>
    <row r="562" spans="18:18" x14ac:dyDescent="0.3">
      <c r="R562" t="str">
        <f t="shared" si="8"/>
        <v/>
      </c>
    </row>
    <row r="563" spans="18:18" x14ac:dyDescent="0.3">
      <c r="R563" t="str">
        <f t="shared" si="8"/>
        <v/>
      </c>
    </row>
    <row r="564" spans="18:18" x14ac:dyDescent="0.3">
      <c r="R564" t="str">
        <f t="shared" si="8"/>
        <v/>
      </c>
    </row>
    <row r="565" spans="18:18" x14ac:dyDescent="0.3">
      <c r="R565" t="str">
        <f t="shared" si="8"/>
        <v/>
      </c>
    </row>
    <row r="566" spans="18:18" x14ac:dyDescent="0.3">
      <c r="R566" t="str">
        <f t="shared" si="8"/>
        <v/>
      </c>
    </row>
    <row r="567" spans="18:18" x14ac:dyDescent="0.3">
      <c r="R567" t="str">
        <f t="shared" si="8"/>
        <v/>
      </c>
    </row>
    <row r="568" spans="18:18" x14ac:dyDescent="0.3">
      <c r="R568" t="str">
        <f t="shared" si="8"/>
        <v/>
      </c>
    </row>
    <row r="569" spans="18:18" x14ac:dyDescent="0.3">
      <c r="R569" t="str">
        <f t="shared" si="8"/>
        <v/>
      </c>
    </row>
    <row r="570" spans="18:18" x14ac:dyDescent="0.3">
      <c r="R570" t="str">
        <f t="shared" si="8"/>
        <v/>
      </c>
    </row>
    <row r="571" spans="18:18" x14ac:dyDescent="0.3">
      <c r="R571" t="str">
        <f t="shared" si="8"/>
        <v/>
      </c>
    </row>
    <row r="572" spans="18:18" x14ac:dyDescent="0.3">
      <c r="R572" t="str">
        <f t="shared" si="8"/>
        <v/>
      </c>
    </row>
    <row r="573" spans="18:18" x14ac:dyDescent="0.3">
      <c r="R573" t="str">
        <f t="shared" si="8"/>
        <v/>
      </c>
    </row>
    <row r="574" spans="18:18" x14ac:dyDescent="0.3">
      <c r="R574" t="str">
        <f t="shared" si="8"/>
        <v/>
      </c>
    </row>
    <row r="575" spans="18:18" x14ac:dyDescent="0.3">
      <c r="R575" t="str">
        <f t="shared" si="8"/>
        <v/>
      </c>
    </row>
    <row r="576" spans="18:18" x14ac:dyDescent="0.3">
      <c r="R576" t="str">
        <f t="shared" si="8"/>
        <v/>
      </c>
    </row>
    <row r="577" spans="18:18" x14ac:dyDescent="0.3">
      <c r="R577" t="str">
        <f t="shared" si="8"/>
        <v/>
      </c>
    </row>
    <row r="578" spans="18:18" x14ac:dyDescent="0.3">
      <c r="R578" t="str">
        <f t="shared" ref="R578:R641" si="9">IF($F578="","",$F578+ROW()/1000000)</f>
        <v/>
      </c>
    </row>
    <row r="579" spans="18:18" x14ac:dyDescent="0.3">
      <c r="R579" t="str">
        <f t="shared" si="9"/>
        <v/>
      </c>
    </row>
    <row r="580" spans="18:18" x14ac:dyDescent="0.3">
      <c r="R580" t="str">
        <f t="shared" si="9"/>
        <v/>
      </c>
    </row>
    <row r="581" spans="18:18" x14ac:dyDescent="0.3">
      <c r="R581" t="str">
        <f t="shared" si="9"/>
        <v/>
      </c>
    </row>
    <row r="582" spans="18:18" x14ac:dyDescent="0.3">
      <c r="R582" t="str">
        <f t="shared" si="9"/>
        <v/>
      </c>
    </row>
    <row r="583" spans="18:18" x14ac:dyDescent="0.3">
      <c r="R583" t="str">
        <f t="shared" si="9"/>
        <v/>
      </c>
    </row>
    <row r="584" spans="18:18" x14ac:dyDescent="0.3">
      <c r="R584" t="str">
        <f t="shared" si="9"/>
        <v/>
      </c>
    </row>
    <row r="585" spans="18:18" x14ac:dyDescent="0.3">
      <c r="R585" t="str">
        <f t="shared" si="9"/>
        <v/>
      </c>
    </row>
    <row r="586" spans="18:18" x14ac:dyDescent="0.3">
      <c r="R586" t="str">
        <f t="shared" si="9"/>
        <v/>
      </c>
    </row>
    <row r="587" spans="18:18" x14ac:dyDescent="0.3">
      <c r="R587" t="str">
        <f t="shared" si="9"/>
        <v/>
      </c>
    </row>
    <row r="588" spans="18:18" x14ac:dyDescent="0.3">
      <c r="R588" t="str">
        <f t="shared" si="9"/>
        <v/>
      </c>
    </row>
    <row r="589" spans="18:18" x14ac:dyDescent="0.3">
      <c r="R589" t="str">
        <f t="shared" si="9"/>
        <v/>
      </c>
    </row>
    <row r="590" spans="18:18" x14ac:dyDescent="0.3">
      <c r="R590" t="str">
        <f t="shared" si="9"/>
        <v/>
      </c>
    </row>
    <row r="591" spans="18:18" x14ac:dyDescent="0.3">
      <c r="R591" t="str">
        <f t="shared" si="9"/>
        <v/>
      </c>
    </row>
    <row r="592" spans="18:18" x14ac:dyDescent="0.3">
      <c r="R592" t="str">
        <f t="shared" si="9"/>
        <v/>
      </c>
    </row>
    <row r="593" spans="18:18" x14ac:dyDescent="0.3">
      <c r="R593" t="str">
        <f t="shared" si="9"/>
        <v/>
      </c>
    </row>
    <row r="594" spans="18:18" x14ac:dyDescent="0.3">
      <c r="R594" t="str">
        <f t="shared" si="9"/>
        <v/>
      </c>
    </row>
    <row r="595" spans="18:18" x14ac:dyDescent="0.3">
      <c r="R595" t="str">
        <f t="shared" si="9"/>
        <v/>
      </c>
    </row>
    <row r="596" spans="18:18" x14ac:dyDescent="0.3">
      <c r="R596" t="str">
        <f t="shared" si="9"/>
        <v/>
      </c>
    </row>
    <row r="597" spans="18:18" x14ac:dyDescent="0.3">
      <c r="R597" t="str">
        <f t="shared" si="9"/>
        <v/>
      </c>
    </row>
    <row r="598" spans="18:18" x14ac:dyDescent="0.3">
      <c r="R598" t="str">
        <f t="shared" si="9"/>
        <v/>
      </c>
    </row>
    <row r="599" spans="18:18" x14ac:dyDescent="0.3">
      <c r="R599" t="str">
        <f t="shared" si="9"/>
        <v/>
      </c>
    </row>
    <row r="600" spans="18:18" x14ac:dyDescent="0.3">
      <c r="R600" t="str">
        <f t="shared" si="9"/>
        <v/>
      </c>
    </row>
    <row r="601" spans="18:18" x14ac:dyDescent="0.3">
      <c r="R601" t="str">
        <f t="shared" si="9"/>
        <v/>
      </c>
    </row>
    <row r="602" spans="18:18" x14ac:dyDescent="0.3">
      <c r="R602" t="str">
        <f t="shared" si="9"/>
        <v/>
      </c>
    </row>
    <row r="603" spans="18:18" x14ac:dyDescent="0.3">
      <c r="R603" t="str">
        <f t="shared" si="9"/>
        <v/>
      </c>
    </row>
    <row r="604" spans="18:18" x14ac:dyDescent="0.3">
      <c r="R604" t="str">
        <f t="shared" si="9"/>
        <v/>
      </c>
    </row>
    <row r="605" spans="18:18" x14ac:dyDescent="0.3">
      <c r="R605" t="str">
        <f t="shared" si="9"/>
        <v/>
      </c>
    </row>
    <row r="606" spans="18:18" x14ac:dyDescent="0.3">
      <c r="R606" t="str">
        <f t="shared" si="9"/>
        <v/>
      </c>
    </row>
    <row r="607" spans="18:18" x14ac:dyDescent="0.3">
      <c r="R607" t="str">
        <f t="shared" si="9"/>
        <v/>
      </c>
    </row>
    <row r="608" spans="18:18" x14ac:dyDescent="0.3">
      <c r="R608" t="str">
        <f t="shared" si="9"/>
        <v/>
      </c>
    </row>
    <row r="609" spans="18:18" x14ac:dyDescent="0.3">
      <c r="R609" t="str">
        <f t="shared" si="9"/>
        <v/>
      </c>
    </row>
    <row r="610" spans="18:18" x14ac:dyDescent="0.3">
      <c r="R610" t="str">
        <f t="shared" si="9"/>
        <v/>
      </c>
    </row>
    <row r="611" spans="18:18" x14ac:dyDescent="0.3">
      <c r="R611" t="str">
        <f t="shared" si="9"/>
        <v/>
      </c>
    </row>
    <row r="612" spans="18:18" x14ac:dyDescent="0.3">
      <c r="R612" t="str">
        <f t="shared" si="9"/>
        <v/>
      </c>
    </row>
    <row r="613" spans="18:18" x14ac:dyDescent="0.3">
      <c r="R613" t="str">
        <f t="shared" si="9"/>
        <v/>
      </c>
    </row>
    <row r="614" spans="18:18" x14ac:dyDescent="0.3">
      <c r="R614" t="str">
        <f t="shared" si="9"/>
        <v/>
      </c>
    </row>
    <row r="615" spans="18:18" x14ac:dyDescent="0.3">
      <c r="R615" t="str">
        <f t="shared" si="9"/>
        <v/>
      </c>
    </row>
    <row r="616" spans="18:18" x14ac:dyDescent="0.3">
      <c r="R616" t="str">
        <f t="shared" si="9"/>
        <v/>
      </c>
    </row>
    <row r="617" spans="18:18" x14ac:dyDescent="0.3">
      <c r="R617" t="str">
        <f t="shared" si="9"/>
        <v/>
      </c>
    </row>
    <row r="618" spans="18:18" x14ac:dyDescent="0.3">
      <c r="R618" t="str">
        <f t="shared" si="9"/>
        <v/>
      </c>
    </row>
    <row r="619" spans="18:18" x14ac:dyDescent="0.3">
      <c r="R619" t="str">
        <f t="shared" si="9"/>
        <v/>
      </c>
    </row>
    <row r="620" spans="18:18" x14ac:dyDescent="0.3">
      <c r="R620" t="str">
        <f t="shared" si="9"/>
        <v/>
      </c>
    </row>
    <row r="621" spans="18:18" x14ac:dyDescent="0.3">
      <c r="R621" t="str">
        <f t="shared" si="9"/>
        <v/>
      </c>
    </row>
    <row r="622" spans="18:18" x14ac:dyDescent="0.3">
      <c r="R622" t="str">
        <f t="shared" si="9"/>
        <v/>
      </c>
    </row>
    <row r="623" spans="18:18" x14ac:dyDescent="0.3">
      <c r="R623" t="str">
        <f t="shared" si="9"/>
        <v/>
      </c>
    </row>
    <row r="624" spans="18:18" x14ac:dyDescent="0.3">
      <c r="R624" t="str">
        <f t="shared" si="9"/>
        <v/>
      </c>
    </row>
    <row r="625" spans="18:18" x14ac:dyDescent="0.3">
      <c r="R625" t="str">
        <f t="shared" si="9"/>
        <v/>
      </c>
    </row>
    <row r="626" spans="18:18" x14ac:dyDescent="0.3">
      <c r="R626" t="str">
        <f t="shared" si="9"/>
        <v/>
      </c>
    </row>
    <row r="627" spans="18:18" x14ac:dyDescent="0.3">
      <c r="R627" t="str">
        <f t="shared" si="9"/>
        <v/>
      </c>
    </row>
    <row r="628" spans="18:18" x14ac:dyDescent="0.3">
      <c r="R628" t="str">
        <f t="shared" si="9"/>
        <v/>
      </c>
    </row>
    <row r="629" spans="18:18" x14ac:dyDescent="0.3">
      <c r="R629" t="str">
        <f t="shared" si="9"/>
        <v/>
      </c>
    </row>
    <row r="630" spans="18:18" x14ac:dyDescent="0.3">
      <c r="R630" t="str">
        <f t="shared" si="9"/>
        <v/>
      </c>
    </row>
    <row r="631" spans="18:18" x14ac:dyDescent="0.3">
      <c r="R631" t="str">
        <f t="shared" si="9"/>
        <v/>
      </c>
    </row>
    <row r="632" spans="18:18" x14ac:dyDescent="0.3">
      <c r="R632" t="str">
        <f t="shared" si="9"/>
        <v/>
      </c>
    </row>
    <row r="633" spans="18:18" x14ac:dyDescent="0.3">
      <c r="R633" t="str">
        <f t="shared" si="9"/>
        <v/>
      </c>
    </row>
    <row r="634" spans="18:18" x14ac:dyDescent="0.3">
      <c r="R634" t="str">
        <f t="shared" si="9"/>
        <v/>
      </c>
    </row>
    <row r="635" spans="18:18" x14ac:dyDescent="0.3">
      <c r="R635" t="str">
        <f t="shared" si="9"/>
        <v/>
      </c>
    </row>
    <row r="636" spans="18:18" x14ac:dyDescent="0.3">
      <c r="R636" t="str">
        <f t="shared" si="9"/>
        <v/>
      </c>
    </row>
    <row r="637" spans="18:18" x14ac:dyDescent="0.3">
      <c r="R637" t="str">
        <f t="shared" si="9"/>
        <v/>
      </c>
    </row>
    <row r="638" spans="18:18" x14ac:dyDescent="0.3">
      <c r="R638" t="str">
        <f t="shared" si="9"/>
        <v/>
      </c>
    </row>
    <row r="639" spans="18:18" x14ac:dyDescent="0.3">
      <c r="R639" t="str">
        <f t="shared" si="9"/>
        <v/>
      </c>
    </row>
    <row r="640" spans="18:18" x14ac:dyDescent="0.3">
      <c r="R640" t="str">
        <f t="shared" si="9"/>
        <v/>
      </c>
    </row>
    <row r="641" spans="18:18" x14ac:dyDescent="0.3">
      <c r="R641" t="str">
        <f t="shared" si="9"/>
        <v/>
      </c>
    </row>
    <row r="642" spans="18:18" x14ac:dyDescent="0.3">
      <c r="R642" t="str">
        <f t="shared" ref="R642:R705" si="10">IF($F642="","",$F642+ROW()/1000000)</f>
        <v/>
      </c>
    </row>
    <row r="643" spans="18:18" x14ac:dyDescent="0.3">
      <c r="R643" t="str">
        <f t="shared" si="10"/>
        <v/>
      </c>
    </row>
    <row r="644" spans="18:18" x14ac:dyDescent="0.3">
      <c r="R644" t="str">
        <f t="shared" si="10"/>
        <v/>
      </c>
    </row>
    <row r="645" spans="18:18" x14ac:dyDescent="0.3">
      <c r="R645" t="str">
        <f t="shared" si="10"/>
        <v/>
      </c>
    </row>
    <row r="646" spans="18:18" x14ac:dyDescent="0.3">
      <c r="R646" t="str">
        <f t="shared" si="10"/>
        <v/>
      </c>
    </row>
    <row r="647" spans="18:18" x14ac:dyDescent="0.3">
      <c r="R647" t="str">
        <f t="shared" si="10"/>
        <v/>
      </c>
    </row>
    <row r="648" spans="18:18" x14ac:dyDescent="0.3">
      <c r="R648" t="str">
        <f t="shared" si="10"/>
        <v/>
      </c>
    </row>
    <row r="649" spans="18:18" x14ac:dyDescent="0.3">
      <c r="R649" t="str">
        <f t="shared" si="10"/>
        <v/>
      </c>
    </row>
    <row r="650" spans="18:18" x14ac:dyDescent="0.3">
      <c r="R650" t="str">
        <f t="shared" si="10"/>
        <v/>
      </c>
    </row>
    <row r="651" spans="18:18" x14ac:dyDescent="0.3">
      <c r="R651" t="str">
        <f t="shared" si="10"/>
        <v/>
      </c>
    </row>
    <row r="652" spans="18:18" x14ac:dyDescent="0.3">
      <c r="R652" t="str">
        <f t="shared" si="10"/>
        <v/>
      </c>
    </row>
    <row r="653" spans="18:18" x14ac:dyDescent="0.3">
      <c r="R653" t="str">
        <f t="shared" si="10"/>
        <v/>
      </c>
    </row>
    <row r="654" spans="18:18" x14ac:dyDescent="0.3">
      <c r="R654" t="str">
        <f t="shared" si="10"/>
        <v/>
      </c>
    </row>
    <row r="655" spans="18:18" x14ac:dyDescent="0.3">
      <c r="R655" t="str">
        <f t="shared" si="10"/>
        <v/>
      </c>
    </row>
    <row r="656" spans="18:18" x14ac:dyDescent="0.3">
      <c r="R656" t="str">
        <f t="shared" si="10"/>
        <v/>
      </c>
    </row>
    <row r="657" spans="18:18" x14ac:dyDescent="0.3">
      <c r="R657" t="str">
        <f t="shared" si="10"/>
        <v/>
      </c>
    </row>
    <row r="658" spans="18:18" x14ac:dyDescent="0.3">
      <c r="R658" t="str">
        <f t="shared" si="10"/>
        <v/>
      </c>
    </row>
    <row r="659" spans="18:18" x14ac:dyDescent="0.3">
      <c r="R659" t="str">
        <f t="shared" si="10"/>
        <v/>
      </c>
    </row>
    <row r="660" spans="18:18" x14ac:dyDescent="0.3">
      <c r="R660" t="str">
        <f t="shared" si="10"/>
        <v/>
      </c>
    </row>
    <row r="661" spans="18:18" x14ac:dyDescent="0.3">
      <c r="R661" t="str">
        <f t="shared" si="10"/>
        <v/>
      </c>
    </row>
    <row r="662" spans="18:18" x14ac:dyDescent="0.3">
      <c r="R662" t="str">
        <f t="shared" si="10"/>
        <v/>
      </c>
    </row>
    <row r="663" spans="18:18" x14ac:dyDescent="0.3">
      <c r="R663" t="str">
        <f t="shared" si="10"/>
        <v/>
      </c>
    </row>
    <row r="664" spans="18:18" x14ac:dyDescent="0.3">
      <c r="R664" t="str">
        <f t="shared" si="10"/>
        <v/>
      </c>
    </row>
    <row r="665" spans="18:18" x14ac:dyDescent="0.3">
      <c r="R665" t="str">
        <f t="shared" si="10"/>
        <v/>
      </c>
    </row>
    <row r="666" spans="18:18" x14ac:dyDescent="0.3">
      <c r="R666" t="str">
        <f t="shared" si="10"/>
        <v/>
      </c>
    </row>
    <row r="667" spans="18:18" x14ac:dyDescent="0.3">
      <c r="R667" t="str">
        <f t="shared" si="10"/>
        <v/>
      </c>
    </row>
    <row r="668" spans="18:18" x14ac:dyDescent="0.3">
      <c r="R668" t="str">
        <f t="shared" si="10"/>
        <v/>
      </c>
    </row>
    <row r="669" spans="18:18" x14ac:dyDescent="0.3">
      <c r="R669" t="str">
        <f t="shared" si="10"/>
        <v/>
      </c>
    </row>
    <row r="670" spans="18:18" x14ac:dyDescent="0.3">
      <c r="R670" t="str">
        <f t="shared" si="10"/>
        <v/>
      </c>
    </row>
    <row r="671" spans="18:18" x14ac:dyDescent="0.3">
      <c r="R671" t="str">
        <f t="shared" si="10"/>
        <v/>
      </c>
    </row>
    <row r="672" spans="18:18" x14ac:dyDescent="0.3">
      <c r="R672" t="str">
        <f t="shared" si="10"/>
        <v/>
      </c>
    </row>
    <row r="673" spans="18:18" x14ac:dyDescent="0.3">
      <c r="R673" t="str">
        <f t="shared" si="10"/>
        <v/>
      </c>
    </row>
    <row r="674" spans="18:18" x14ac:dyDescent="0.3">
      <c r="R674" t="str">
        <f t="shared" si="10"/>
        <v/>
      </c>
    </row>
    <row r="675" spans="18:18" x14ac:dyDescent="0.3">
      <c r="R675" t="str">
        <f t="shared" si="10"/>
        <v/>
      </c>
    </row>
    <row r="676" spans="18:18" x14ac:dyDescent="0.3">
      <c r="R676" t="str">
        <f t="shared" si="10"/>
        <v/>
      </c>
    </row>
    <row r="677" spans="18:18" x14ac:dyDescent="0.3">
      <c r="R677" t="str">
        <f t="shared" si="10"/>
        <v/>
      </c>
    </row>
    <row r="678" spans="18:18" x14ac:dyDescent="0.3">
      <c r="R678" t="str">
        <f t="shared" si="10"/>
        <v/>
      </c>
    </row>
    <row r="679" spans="18:18" x14ac:dyDescent="0.3">
      <c r="R679" t="str">
        <f t="shared" si="10"/>
        <v/>
      </c>
    </row>
    <row r="680" spans="18:18" x14ac:dyDescent="0.3">
      <c r="R680" t="str">
        <f t="shared" si="10"/>
        <v/>
      </c>
    </row>
    <row r="681" spans="18:18" x14ac:dyDescent="0.3">
      <c r="R681" t="str">
        <f t="shared" si="10"/>
        <v/>
      </c>
    </row>
    <row r="682" spans="18:18" x14ac:dyDescent="0.3">
      <c r="R682" t="str">
        <f t="shared" si="10"/>
        <v/>
      </c>
    </row>
    <row r="683" spans="18:18" x14ac:dyDescent="0.3">
      <c r="R683" t="str">
        <f t="shared" si="10"/>
        <v/>
      </c>
    </row>
    <row r="684" spans="18:18" x14ac:dyDescent="0.3">
      <c r="R684" t="str">
        <f t="shared" si="10"/>
        <v/>
      </c>
    </row>
    <row r="685" spans="18:18" x14ac:dyDescent="0.3">
      <c r="R685" t="str">
        <f t="shared" si="10"/>
        <v/>
      </c>
    </row>
    <row r="686" spans="18:18" x14ac:dyDescent="0.3">
      <c r="R686" t="str">
        <f t="shared" si="10"/>
        <v/>
      </c>
    </row>
    <row r="687" spans="18:18" x14ac:dyDescent="0.3">
      <c r="R687" t="str">
        <f t="shared" si="10"/>
        <v/>
      </c>
    </row>
    <row r="688" spans="18:18" x14ac:dyDescent="0.3">
      <c r="R688" t="str">
        <f t="shared" si="10"/>
        <v/>
      </c>
    </row>
    <row r="689" spans="18:18" x14ac:dyDescent="0.3">
      <c r="R689" t="str">
        <f t="shared" si="10"/>
        <v/>
      </c>
    </row>
    <row r="690" spans="18:18" x14ac:dyDescent="0.3">
      <c r="R690" t="str">
        <f t="shared" si="10"/>
        <v/>
      </c>
    </row>
    <row r="691" spans="18:18" x14ac:dyDescent="0.3">
      <c r="R691" t="str">
        <f t="shared" si="10"/>
        <v/>
      </c>
    </row>
    <row r="692" spans="18:18" x14ac:dyDescent="0.3">
      <c r="R692" t="str">
        <f t="shared" si="10"/>
        <v/>
      </c>
    </row>
    <row r="693" spans="18:18" x14ac:dyDescent="0.3">
      <c r="R693" t="str">
        <f t="shared" si="10"/>
        <v/>
      </c>
    </row>
    <row r="694" spans="18:18" x14ac:dyDescent="0.3">
      <c r="R694" t="str">
        <f t="shared" si="10"/>
        <v/>
      </c>
    </row>
    <row r="695" spans="18:18" x14ac:dyDescent="0.3">
      <c r="R695" t="str">
        <f t="shared" si="10"/>
        <v/>
      </c>
    </row>
    <row r="696" spans="18:18" x14ac:dyDescent="0.3">
      <c r="R696" t="str">
        <f t="shared" si="10"/>
        <v/>
      </c>
    </row>
    <row r="697" spans="18:18" x14ac:dyDescent="0.3">
      <c r="R697" t="str">
        <f t="shared" si="10"/>
        <v/>
      </c>
    </row>
    <row r="698" spans="18:18" x14ac:dyDescent="0.3">
      <c r="R698" t="str">
        <f t="shared" si="10"/>
        <v/>
      </c>
    </row>
    <row r="699" spans="18:18" x14ac:dyDescent="0.3">
      <c r="R699" t="str">
        <f t="shared" si="10"/>
        <v/>
      </c>
    </row>
    <row r="700" spans="18:18" x14ac:dyDescent="0.3">
      <c r="R700" t="str">
        <f t="shared" si="10"/>
        <v/>
      </c>
    </row>
    <row r="701" spans="18:18" x14ac:dyDescent="0.3">
      <c r="R701" t="str">
        <f t="shared" si="10"/>
        <v/>
      </c>
    </row>
    <row r="702" spans="18:18" x14ac:dyDescent="0.3">
      <c r="R702" t="str">
        <f t="shared" si="10"/>
        <v/>
      </c>
    </row>
    <row r="703" spans="18:18" x14ac:dyDescent="0.3">
      <c r="R703" t="str">
        <f t="shared" si="10"/>
        <v/>
      </c>
    </row>
    <row r="704" spans="18:18" x14ac:dyDescent="0.3">
      <c r="R704" t="str">
        <f t="shared" si="10"/>
        <v/>
      </c>
    </row>
    <row r="705" spans="18:18" x14ac:dyDescent="0.3">
      <c r="R705" t="str">
        <f t="shared" si="10"/>
        <v/>
      </c>
    </row>
    <row r="706" spans="18:18" x14ac:dyDescent="0.3">
      <c r="R706" t="str">
        <f t="shared" ref="R706:R769" si="11">IF($F706="","",$F706+ROW()/1000000)</f>
        <v/>
      </c>
    </row>
    <row r="707" spans="18:18" x14ac:dyDescent="0.3">
      <c r="R707" t="str">
        <f t="shared" si="11"/>
        <v/>
      </c>
    </row>
    <row r="708" spans="18:18" x14ac:dyDescent="0.3">
      <c r="R708" t="str">
        <f t="shared" si="11"/>
        <v/>
      </c>
    </row>
    <row r="709" spans="18:18" x14ac:dyDescent="0.3">
      <c r="R709" t="str">
        <f t="shared" si="11"/>
        <v/>
      </c>
    </row>
    <row r="710" spans="18:18" x14ac:dyDescent="0.3">
      <c r="R710" t="str">
        <f t="shared" si="11"/>
        <v/>
      </c>
    </row>
    <row r="711" spans="18:18" x14ac:dyDescent="0.3">
      <c r="R711" t="str">
        <f t="shared" si="11"/>
        <v/>
      </c>
    </row>
    <row r="712" spans="18:18" x14ac:dyDescent="0.3">
      <c r="R712" t="str">
        <f t="shared" si="11"/>
        <v/>
      </c>
    </row>
    <row r="713" spans="18:18" x14ac:dyDescent="0.3">
      <c r="R713" t="str">
        <f t="shared" si="11"/>
        <v/>
      </c>
    </row>
    <row r="714" spans="18:18" x14ac:dyDescent="0.3">
      <c r="R714" t="str">
        <f t="shared" si="11"/>
        <v/>
      </c>
    </row>
    <row r="715" spans="18:18" x14ac:dyDescent="0.3">
      <c r="R715" t="str">
        <f t="shared" si="11"/>
        <v/>
      </c>
    </row>
    <row r="716" spans="18:18" x14ac:dyDescent="0.3">
      <c r="R716" t="str">
        <f t="shared" si="11"/>
        <v/>
      </c>
    </row>
    <row r="717" spans="18:18" x14ac:dyDescent="0.3">
      <c r="R717" t="str">
        <f t="shared" si="11"/>
        <v/>
      </c>
    </row>
    <row r="718" spans="18:18" x14ac:dyDescent="0.3">
      <c r="R718" t="str">
        <f t="shared" si="11"/>
        <v/>
      </c>
    </row>
    <row r="719" spans="18:18" x14ac:dyDescent="0.3">
      <c r="R719" t="str">
        <f t="shared" si="11"/>
        <v/>
      </c>
    </row>
    <row r="720" spans="18:18" x14ac:dyDescent="0.3">
      <c r="R720" t="str">
        <f t="shared" si="11"/>
        <v/>
      </c>
    </row>
    <row r="721" spans="18:18" x14ac:dyDescent="0.3">
      <c r="R721" t="str">
        <f t="shared" si="11"/>
        <v/>
      </c>
    </row>
    <row r="722" spans="18:18" x14ac:dyDescent="0.3">
      <c r="R722" t="str">
        <f t="shared" si="11"/>
        <v/>
      </c>
    </row>
    <row r="723" spans="18:18" x14ac:dyDescent="0.3">
      <c r="R723" t="str">
        <f t="shared" si="11"/>
        <v/>
      </c>
    </row>
    <row r="724" spans="18:18" x14ac:dyDescent="0.3">
      <c r="R724" t="str">
        <f t="shared" si="11"/>
        <v/>
      </c>
    </row>
    <row r="725" spans="18:18" x14ac:dyDescent="0.3">
      <c r="R725" t="str">
        <f t="shared" si="11"/>
        <v/>
      </c>
    </row>
    <row r="726" spans="18:18" x14ac:dyDescent="0.3">
      <c r="R726" t="str">
        <f t="shared" si="11"/>
        <v/>
      </c>
    </row>
    <row r="727" spans="18:18" x14ac:dyDescent="0.3">
      <c r="R727" t="str">
        <f t="shared" si="11"/>
        <v/>
      </c>
    </row>
    <row r="728" spans="18:18" x14ac:dyDescent="0.3">
      <c r="R728" t="str">
        <f t="shared" si="11"/>
        <v/>
      </c>
    </row>
    <row r="729" spans="18:18" x14ac:dyDescent="0.3">
      <c r="R729" t="str">
        <f t="shared" si="11"/>
        <v/>
      </c>
    </row>
    <row r="730" spans="18:18" x14ac:dyDescent="0.3">
      <c r="R730" t="str">
        <f t="shared" si="11"/>
        <v/>
      </c>
    </row>
    <row r="731" spans="18:18" x14ac:dyDescent="0.3">
      <c r="R731" t="str">
        <f t="shared" si="11"/>
        <v/>
      </c>
    </row>
    <row r="732" spans="18:18" x14ac:dyDescent="0.3">
      <c r="R732" t="str">
        <f t="shared" si="11"/>
        <v/>
      </c>
    </row>
    <row r="733" spans="18:18" x14ac:dyDescent="0.3">
      <c r="R733" t="str">
        <f t="shared" si="11"/>
        <v/>
      </c>
    </row>
    <row r="734" spans="18:18" x14ac:dyDescent="0.3">
      <c r="R734" t="str">
        <f t="shared" si="11"/>
        <v/>
      </c>
    </row>
    <row r="735" spans="18:18" x14ac:dyDescent="0.3">
      <c r="R735" t="str">
        <f t="shared" si="11"/>
        <v/>
      </c>
    </row>
    <row r="736" spans="18:18" x14ac:dyDescent="0.3">
      <c r="R736" t="str">
        <f t="shared" si="11"/>
        <v/>
      </c>
    </row>
    <row r="737" spans="18:18" x14ac:dyDescent="0.3">
      <c r="R737" t="str">
        <f t="shared" si="11"/>
        <v/>
      </c>
    </row>
    <row r="738" spans="18:18" x14ac:dyDescent="0.3">
      <c r="R738" t="str">
        <f t="shared" si="11"/>
        <v/>
      </c>
    </row>
    <row r="739" spans="18:18" x14ac:dyDescent="0.3">
      <c r="R739" t="str">
        <f t="shared" si="11"/>
        <v/>
      </c>
    </row>
    <row r="740" spans="18:18" x14ac:dyDescent="0.3">
      <c r="R740" t="str">
        <f t="shared" si="11"/>
        <v/>
      </c>
    </row>
    <row r="741" spans="18:18" x14ac:dyDescent="0.3">
      <c r="R741" t="str">
        <f t="shared" si="11"/>
        <v/>
      </c>
    </row>
    <row r="742" spans="18:18" x14ac:dyDescent="0.3">
      <c r="R742" t="str">
        <f t="shared" si="11"/>
        <v/>
      </c>
    </row>
    <row r="743" spans="18:18" x14ac:dyDescent="0.3">
      <c r="R743" t="str">
        <f t="shared" si="11"/>
        <v/>
      </c>
    </row>
    <row r="744" spans="18:18" x14ac:dyDescent="0.3">
      <c r="R744" t="str">
        <f t="shared" si="11"/>
        <v/>
      </c>
    </row>
    <row r="745" spans="18:18" x14ac:dyDescent="0.3">
      <c r="R745" t="str">
        <f t="shared" si="11"/>
        <v/>
      </c>
    </row>
    <row r="746" spans="18:18" x14ac:dyDescent="0.3">
      <c r="R746" t="str">
        <f t="shared" si="11"/>
        <v/>
      </c>
    </row>
    <row r="747" spans="18:18" x14ac:dyDescent="0.3">
      <c r="R747" t="str">
        <f t="shared" si="11"/>
        <v/>
      </c>
    </row>
    <row r="748" spans="18:18" x14ac:dyDescent="0.3">
      <c r="R748" t="str">
        <f t="shared" si="11"/>
        <v/>
      </c>
    </row>
    <row r="749" spans="18:18" x14ac:dyDescent="0.3">
      <c r="R749" t="str">
        <f t="shared" si="11"/>
        <v/>
      </c>
    </row>
    <row r="750" spans="18:18" x14ac:dyDescent="0.3">
      <c r="R750" t="str">
        <f t="shared" si="11"/>
        <v/>
      </c>
    </row>
    <row r="751" spans="18:18" x14ac:dyDescent="0.3">
      <c r="R751" t="str">
        <f t="shared" si="11"/>
        <v/>
      </c>
    </row>
    <row r="752" spans="18:18" x14ac:dyDescent="0.3">
      <c r="R752" t="str">
        <f t="shared" si="11"/>
        <v/>
      </c>
    </row>
    <row r="753" spans="18:18" x14ac:dyDescent="0.3">
      <c r="R753" t="str">
        <f t="shared" si="11"/>
        <v/>
      </c>
    </row>
    <row r="754" spans="18:18" x14ac:dyDescent="0.3">
      <c r="R754" t="str">
        <f t="shared" si="11"/>
        <v/>
      </c>
    </row>
    <row r="755" spans="18:18" x14ac:dyDescent="0.3">
      <c r="R755" t="str">
        <f t="shared" si="11"/>
        <v/>
      </c>
    </row>
    <row r="756" spans="18:18" x14ac:dyDescent="0.3">
      <c r="R756" t="str">
        <f t="shared" si="11"/>
        <v/>
      </c>
    </row>
    <row r="757" spans="18:18" x14ac:dyDescent="0.3">
      <c r="R757" t="str">
        <f t="shared" si="11"/>
        <v/>
      </c>
    </row>
    <row r="758" spans="18:18" x14ac:dyDescent="0.3">
      <c r="R758" t="str">
        <f t="shared" si="11"/>
        <v/>
      </c>
    </row>
    <row r="759" spans="18:18" x14ac:dyDescent="0.3">
      <c r="R759" t="str">
        <f t="shared" si="11"/>
        <v/>
      </c>
    </row>
    <row r="760" spans="18:18" x14ac:dyDescent="0.3">
      <c r="R760" t="str">
        <f t="shared" si="11"/>
        <v/>
      </c>
    </row>
    <row r="761" spans="18:18" x14ac:dyDescent="0.3">
      <c r="R761" t="str">
        <f t="shared" si="11"/>
        <v/>
      </c>
    </row>
    <row r="762" spans="18:18" x14ac:dyDescent="0.3">
      <c r="R762" t="str">
        <f t="shared" si="11"/>
        <v/>
      </c>
    </row>
    <row r="763" spans="18:18" x14ac:dyDescent="0.3">
      <c r="R763" t="str">
        <f t="shared" si="11"/>
        <v/>
      </c>
    </row>
    <row r="764" spans="18:18" x14ac:dyDescent="0.3">
      <c r="R764" t="str">
        <f t="shared" si="11"/>
        <v/>
      </c>
    </row>
    <row r="765" spans="18:18" x14ac:dyDescent="0.3">
      <c r="R765" t="str">
        <f t="shared" si="11"/>
        <v/>
      </c>
    </row>
    <row r="766" spans="18:18" x14ac:dyDescent="0.3">
      <c r="R766" t="str">
        <f t="shared" si="11"/>
        <v/>
      </c>
    </row>
    <row r="767" spans="18:18" x14ac:dyDescent="0.3">
      <c r="R767" t="str">
        <f t="shared" si="11"/>
        <v/>
      </c>
    </row>
    <row r="768" spans="18:18" x14ac:dyDescent="0.3">
      <c r="R768" t="str">
        <f t="shared" si="11"/>
        <v/>
      </c>
    </row>
    <row r="769" spans="18:18" x14ac:dyDescent="0.3">
      <c r="R769" t="str">
        <f t="shared" si="11"/>
        <v/>
      </c>
    </row>
    <row r="770" spans="18:18" x14ac:dyDescent="0.3">
      <c r="R770" t="str">
        <f t="shared" ref="R770:R833" si="12">IF($F770="","",$F770+ROW()/1000000)</f>
        <v/>
      </c>
    </row>
    <row r="771" spans="18:18" x14ac:dyDescent="0.3">
      <c r="R771" t="str">
        <f t="shared" si="12"/>
        <v/>
      </c>
    </row>
    <row r="772" spans="18:18" x14ac:dyDescent="0.3">
      <c r="R772" t="str">
        <f t="shared" si="12"/>
        <v/>
      </c>
    </row>
    <row r="773" spans="18:18" x14ac:dyDescent="0.3">
      <c r="R773" t="str">
        <f t="shared" si="12"/>
        <v/>
      </c>
    </row>
    <row r="774" spans="18:18" x14ac:dyDescent="0.3">
      <c r="R774" t="str">
        <f t="shared" si="12"/>
        <v/>
      </c>
    </row>
    <row r="775" spans="18:18" x14ac:dyDescent="0.3">
      <c r="R775" t="str">
        <f t="shared" si="12"/>
        <v/>
      </c>
    </row>
    <row r="776" spans="18:18" x14ac:dyDescent="0.3">
      <c r="R776" t="str">
        <f t="shared" si="12"/>
        <v/>
      </c>
    </row>
    <row r="777" spans="18:18" x14ac:dyDescent="0.3">
      <c r="R777" t="str">
        <f t="shared" si="12"/>
        <v/>
      </c>
    </row>
    <row r="778" spans="18:18" x14ac:dyDescent="0.3">
      <c r="R778" t="str">
        <f t="shared" si="12"/>
        <v/>
      </c>
    </row>
    <row r="779" spans="18:18" x14ac:dyDescent="0.3">
      <c r="R779" t="str">
        <f t="shared" si="12"/>
        <v/>
      </c>
    </row>
    <row r="780" spans="18:18" x14ac:dyDescent="0.3">
      <c r="R780" t="str">
        <f t="shared" si="12"/>
        <v/>
      </c>
    </row>
    <row r="781" spans="18:18" x14ac:dyDescent="0.3">
      <c r="R781" t="str">
        <f t="shared" si="12"/>
        <v/>
      </c>
    </row>
    <row r="782" spans="18:18" x14ac:dyDescent="0.3">
      <c r="R782" t="str">
        <f t="shared" si="12"/>
        <v/>
      </c>
    </row>
    <row r="783" spans="18:18" x14ac:dyDescent="0.3">
      <c r="R783" t="str">
        <f t="shared" si="12"/>
        <v/>
      </c>
    </row>
    <row r="784" spans="18:18" x14ac:dyDescent="0.3">
      <c r="R784" t="str">
        <f t="shared" si="12"/>
        <v/>
      </c>
    </row>
    <row r="785" spans="18:18" x14ac:dyDescent="0.3">
      <c r="R785" t="str">
        <f t="shared" si="12"/>
        <v/>
      </c>
    </row>
    <row r="786" spans="18:18" x14ac:dyDescent="0.3">
      <c r="R786" t="str">
        <f t="shared" si="12"/>
        <v/>
      </c>
    </row>
    <row r="787" spans="18:18" x14ac:dyDescent="0.3">
      <c r="R787" t="str">
        <f t="shared" si="12"/>
        <v/>
      </c>
    </row>
    <row r="788" spans="18:18" x14ac:dyDescent="0.3">
      <c r="R788" t="str">
        <f t="shared" si="12"/>
        <v/>
      </c>
    </row>
    <row r="789" spans="18:18" x14ac:dyDescent="0.3">
      <c r="R789" t="str">
        <f t="shared" si="12"/>
        <v/>
      </c>
    </row>
    <row r="790" spans="18:18" x14ac:dyDescent="0.3">
      <c r="R790" t="str">
        <f t="shared" si="12"/>
        <v/>
      </c>
    </row>
    <row r="791" spans="18:18" x14ac:dyDescent="0.3">
      <c r="R791" t="str">
        <f t="shared" si="12"/>
        <v/>
      </c>
    </row>
    <row r="792" spans="18:18" x14ac:dyDescent="0.3">
      <c r="R792" t="str">
        <f t="shared" si="12"/>
        <v/>
      </c>
    </row>
    <row r="793" spans="18:18" x14ac:dyDescent="0.3">
      <c r="R793" t="str">
        <f t="shared" si="12"/>
        <v/>
      </c>
    </row>
    <row r="794" spans="18:18" x14ac:dyDescent="0.3">
      <c r="R794" t="str">
        <f t="shared" si="12"/>
        <v/>
      </c>
    </row>
    <row r="795" spans="18:18" x14ac:dyDescent="0.3">
      <c r="R795" t="str">
        <f t="shared" si="12"/>
        <v/>
      </c>
    </row>
    <row r="796" spans="18:18" x14ac:dyDescent="0.3">
      <c r="R796" t="str">
        <f t="shared" si="12"/>
        <v/>
      </c>
    </row>
    <row r="797" spans="18:18" x14ac:dyDescent="0.3">
      <c r="R797" t="str">
        <f t="shared" si="12"/>
        <v/>
      </c>
    </row>
    <row r="798" spans="18:18" x14ac:dyDescent="0.3">
      <c r="R798" t="str">
        <f t="shared" si="12"/>
        <v/>
      </c>
    </row>
    <row r="799" spans="18:18" x14ac:dyDescent="0.3">
      <c r="R799" t="str">
        <f t="shared" si="12"/>
        <v/>
      </c>
    </row>
    <row r="800" spans="18:18" x14ac:dyDescent="0.3">
      <c r="R800" t="str">
        <f t="shared" si="12"/>
        <v/>
      </c>
    </row>
    <row r="801" spans="18:18" x14ac:dyDescent="0.3">
      <c r="R801" t="str">
        <f t="shared" si="12"/>
        <v/>
      </c>
    </row>
    <row r="802" spans="18:18" x14ac:dyDescent="0.3">
      <c r="R802" t="str">
        <f t="shared" si="12"/>
        <v/>
      </c>
    </row>
    <row r="803" spans="18:18" x14ac:dyDescent="0.3">
      <c r="R803" t="str">
        <f t="shared" si="12"/>
        <v/>
      </c>
    </row>
    <row r="804" spans="18:18" x14ac:dyDescent="0.3">
      <c r="R804" t="str">
        <f t="shared" si="12"/>
        <v/>
      </c>
    </row>
    <row r="805" spans="18:18" x14ac:dyDescent="0.3">
      <c r="R805" t="str">
        <f t="shared" si="12"/>
        <v/>
      </c>
    </row>
    <row r="806" spans="18:18" x14ac:dyDescent="0.3">
      <c r="R806" t="str">
        <f t="shared" si="12"/>
        <v/>
      </c>
    </row>
    <row r="807" spans="18:18" x14ac:dyDescent="0.3">
      <c r="R807" t="str">
        <f t="shared" si="12"/>
        <v/>
      </c>
    </row>
    <row r="808" spans="18:18" x14ac:dyDescent="0.3">
      <c r="R808" t="str">
        <f t="shared" si="12"/>
        <v/>
      </c>
    </row>
    <row r="809" spans="18:18" x14ac:dyDescent="0.3">
      <c r="R809" t="str">
        <f t="shared" si="12"/>
        <v/>
      </c>
    </row>
    <row r="810" spans="18:18" x14ac:dyDescent="0.3">
      <c r="R810" t="str">
        <f t="shared" si="12"/>
        <v/>
      </c>
    </row>
    <row r="811" spans="18:18" x14ac:dyDescent="0.3">
      <c r="R811" t="str">
        <f t="shared" si="12"/>
        <v/>
      </c>
    </row>
    <row r="812" spans="18:18" x14ac:dyDescent="0.3">
      <c r="R812" t="str">
        <f t="shared" si="12"/>
        <v/>
      </c>
    </row>
    <row r="813" spans="18:18" x14ac:dyDescent="0.3">
      <c r="R813" t="str">
        <f t="shared" si="12"/>
        <v/>
      </c>
    </row>
    <row r="814" spans="18:18" x14ac:dyDescent="0.3">
      <c r="R814" t="str">
        <f t="shared" si="12"/>
        <v/>
      </c>
    </row>
    <row r="815" spans="18:18" x14ac:dyDescent="0.3">
      <c r="R815" t="str">
        <f t="shared" si="12"/>
        <v/>
      </c>
    </row>
    <row r="816" spans="18:18" x14ac:dyDescent="0.3">
      <c r="R816" t="str">
        <f t="shared" si="12"/>
        <v/>
      </c>
    </row>
    <row r="817" spans="18:18" x14ac:dyDescent="0.3">
      <c r="R817" t="str">
        <f t="shared" si="12"/>
        <v/>
      </c>
    </row>
    <row r="818" spans="18:18" x14ac:dyDescent="0.3">
      <c r="R818" t="str">
        <f t="shared" si="12"/>
        <v/>
      </c>
    </row>
    <row r="819" spans="18:18" x14ac:dyDescent="0.3">
      <c r="R819" t="str">
        <f t="shared" si="12"/>
        <v/>
      </c>
    </row>
    <row r="820" spans="18:18" x14ac:dyDescent="0.3">
      <c r="R820" t="str">
        <f t="shared" si="12"/>
        <v/>
      </c>
    </row>
    <row r="821" spans="18:18" x14ac:dyDescent="0.3">
      <c r="R821" t="str">
        <f t="shared" si="12"/>
        <v/>
      </c>
    </row>
    <row r="822" spans="18:18" x14ac:dyDescent="0.3">
      <c r="R822" t="str">
        <f t="shared" si="12"/>
        <v/>
      </c>
    </row>
    <row r="823" spans="18:18" x14ac:dyDescent="0.3">
      <c r="R823" t="str">
        <f t="shared" si="12"/>
        <v/>
      </c>
    </row>
    <row r="824" spans="18:18" x14ac:dyDescent="0.3">
      <c r="R824" t="str">
        <f t="shared" si="12"/>
        <v/>
      </c>
    </row>
    <row r="825" spans="18:18" x14ac:dyDescent="0.3">
      <c r="R825" t="str">
        <f t="shared" si="12"/>
        <v/>
      </c>
    </row>
    <row r="826" spans="18:18" x14ac:dyDescent="0.3">
      <c r="R826" t="str">
        <f t="shared" si="12"/>
        <v/>
      </c>
    </row>
    <row r="827" spans="18:18" x14ac:dyDescent="0.3">
      <c r="R827" t="str">
        <f t="shared" si="12"/>
        <v/>
      </c>
    </row>
    <row r="828" spans="18:18" x14ac:dyDescent="0.3">
      <c r="R828" t="str">
        <f t="shared" si="12"/>
        <v/>
      </c>
    </row>
    <row r="829" spans="18:18" x14ac:dyDescent="0.3">
      <c r="R829" t="str">
        <f t="shared" si="12"/>
        <v/>
      </c>
    </row>
    <row r="830" spans="18:18" x14ac:dyDescent="0.3">
      <c r="R830" t="str">
        <f t="shared" si="12"/>
        <v/>
      </c>
    </row>
    <row r="831" spans="18:18" x14ac:dyDescent="0.3">
      <c r="R831" t="str">
        <f t="shared" si="12"/>
        <v/>
      </c>
    </row>
    <row r="832" spans="18:18" x14ac:dyDescent="0.3">
      <c r="R832" t="str">
        <f t="shared" si="12"/>
        <v/>
      </c>
    </row>
    <row r="833" spans="18:18" x14ac:dyDescent="0.3">
      <c r="R833" t="str">
        <f t="shared" si="12"/>
        <v/>
      </c>
    </row>
    <row r="834" spans="18:18" x14ac:dyDescent="0.3">
      <c r="R834" t="str">
        <f t="shared" ref="R834:R897" si="13">IF($F834="","",$F834+ROW()/1000000)</f>
        <v/>
      </c>
    </row>
    <row r="835" spans="18:18" x14ac:dyDescent="0.3">
      <c r="R835" t="str">
        <f t="shared" si="13"/>
        <v/>
      </c>
    </row>
    <row r="836" spans="18:18" x14ac:dyDescent="0.3">
      <c r="R836" t="str">
        <f t="shared" si="13"/>
        <v/>
      </c>
    </row>
    <row r="837" spans="18:18" x14ac:dyDescent="0.3">
      <c r="R837" t="str">
        <f t="shared" si="13"/>
        <v/>
      </c>
    </row>
    <row r="838" spans="18:18" x14ac:dyDescent="0.3">
      <c r="R838" t="str">
        <f t="shared" si="13"/>
        <v/>
      </c>
    </row>
    <row r="839" spans="18:18" x14ac:dyDescent="0.3">
      <c r="R839" t="str">
        <f t="shared" si="13"/>
        <v/>
      </c>
    </row>
    <row r="840" spans="18:18" x14ac:dyDescent="0.3">
      <c r="R840" t="str">
        <f t="shared" si="13"/>
        <v/>
      </c>
    </row>
    <row r="841" spans="18:18" x14ac:dyDescent="0.3">
      <c r="R841" t="str">
        <f t="shared" si="13"/>
        <v/>
      </c>
    </row>
    <row r="842" spans="18:18" x14ac:dyDescent="0.3">
      <c r="R842" t="str">
        <f t="shared" si="13"/>
        <v/>
      </c>
    </row>
    <row r="843" spans="18:18" x14ac:dyDescent="0.3">
      <c r="R843" t="str">
        <f t="shared" si="13"/>
        <v/>
      </c>
    </row>
    <row r="844" spans="18:18" x14ac:dyDescent="0.3">
      <c r="R844" t="str">
        <f t="shared" si="13"/>
        <v/>
      </c>
    </row>
    <row r="845" spans="18:18" x14ac:dyDescent="0.3">
      <c r="R845" t="str">
        <f t="shared" si="13"/>
        <v/>
      </c>
    </row>
    <row r="846" spans="18:18" x14ac:dyDescent="0.3">
      <c r="R846" t="str">
        <f t="shared" si="13"/>
        <v/>
      </c>
    </row>
    <row r="847" spans="18:18" x14ac:dyDescent="0.3">
      <c r="R847" t="str">
        <f t="shared" si="13"/>
        <v/>
      </c>
    </row>
    <row r="848" spans="18:18" x14ac:dyDescent="0.3">
      <c r="R848" t="str">
        <f t="shared" si="13"/>
        <v/>
      </c>
    </row>
    <row r="849" spans="18:18" x14ac:dyDescent="0.3">
      <c r="R849" t="str">
        <f t="shared" si="13"/>
        <v/>
      </c>
    </row>
    <row r="850" spans="18:18" x14ac:dyDescent="0.3">
      <c r="R850" t="str">
        <f t="shared" si="13"/>
        <v/>
      </c>
    </row>
    <row r="851" spans="18:18" x14ac:dyDescent="0.3">
      <c r="R851" t="str">
        <f t="shared" si="13"/>
        <v/>
      </c>
    </row>
    <row r="852" spans="18:18" x14ac:dyDescent="0.3">
      <c r="R852" t="str">
        <f t="shared" si="13"/>
        <v/>
      </c>
    </row>
    <row r="853" spans="18:18" x14ac:dyDescent="0.3">
      <c r="R853" t="str">
        <f t="shared" si="13"/>
        <v/>
      </c>
    </row>
    <row r="854" spans="18:18" x14ac:dyDescent="0.3">
      <c r="R854" t="str">
        <f t="shared" si="13"/>
        <v/>
      </c>
    </row>
    <row r="855" spans="18:18" x14ac:dyDescent="0.3">
      <c r="R855" t="str">
        <f t="shared" si="13"/>
        <v/>
      </c>
    </row>
    <row r="856" spans="18:18" x14ac:dyDescent="0.3">
      <c r="R856" t="str">
        <f t="shared" si="13"/>
        <v/>
      </c>
    </row>
    <row r="857" spans="18:18" x14ac:dyDescent="0.3">
      <c r="R857" t="str">
        <f t="shared" si="13"/>
        <v/>
      </c>
    </row>
    <row r="858" spans="18:18" x14ac:dyDescent="0.3">
      <c r="R858" t="str">
        <f t="shared" si="13"/>
        <v/>
      </c>
    </row>
    <row r="859" spans="18:18" x14ac:dyDescent="0.3">
      <c r="R859" t="str">
        <f t="shared" si="13"/>
        <v/>
      </c>
    </row>
    <row r="860" spans="18:18" x14ac:dyDescent="0.3">
      <c r="R860" t="str">
        <f t="shared" si="13"/>
        <v/>
      </c>
    </row>
    <row r="861" spans="18:18" x14ac:dyDescent="0.3">
      <c r="R861" t="str">
        <f t="shared" si="13"/>
        <v/>
      </c>
    </row>
    <row r="862" spans="18:18" x14ac:dyDescent="0.3">
      <c r="R862" t="str">
        <f t="shared" si="13"/>
        <v/>
      </c>
    </row>
    <row r="863" spans="18:18" x14ac:dyDescent="0.3">
      <c r="R863" t="str">
        <f t="shared" si="13"/>
        <v/>
      </c>
    </row>
    <row r="864" spans="18:18" x14ac:dyDescent="0.3">
      <c r="R864" t="str">
        <f t="shared" si="13"/>
        <v/>
      </c>
    </row>
    <row r="865" spans="18:18" x14ac:dyDescent="0.3">
      <c r="R865" t="str">
        <f t="shared" si="13"/>
        <v/>
      </c>
    </row>
    <row r="866" spans="18:18" x14ac:dyDescent="0.3">
      <c r="R866" t="str">
        <f t="shared" si="13"/>
        <v/>
      </c>
    </row>
    <row r="867" spans="18:18" x14ac:dyDescent="0.3">
      <c r="R867" t="str">
        <f t="shared" si="13"/>
        <v/>
      </c>
    </row>
    <row r="868" spans="18:18" x14ac:dyDescent="0.3">
      <c r="R868" t="str">
        <f t="shared" si="13"/>
        <v/>
      </c>
    </row>
    <row r="869" spans="18:18" x14ac:dyDescent="0.3">
      <c r="R869" t="str">
        <f t="shared" si="13"/>
        <v/>
      </c>
    </row>
    <row r="870" spans="18:18" x14ac:dyDescent="0.3">
      <c r="R870" t="str">
        <f t="shared" si="13"/>
        <v/>
      </c>
    </row>
    <row r="871" spans="18:18" x14ac:dyDescent="0.3">
      <c r="R871" t="str">
        <f t="shared" si="13"/>
        <v/>
      </c>
    </row>
    <row r="872" spans="18:18" x14ac:dyDescent="0.3">
      <c r="R872" t="str">
        <f t="shared" si="13"/>
        <v/>
      </c>
    </row>
    <row r="873" spans="18:18" x14ac:dyDescent="0.3">
      <c r="R873" t="str">
        <f t="shared" si="13"/>
        <v/>
      </c>
    </row>
    <row r="874" spans="18:18" x14ac:dyDescent="0.3">
      <c r="R874" t="str">
        <f t="shared" si="13"/>
        <v/>
      </c>
    </row>
    <row r="875" spans="18:18" x14ac:dyDescent="0.3">
      <c r="R875" t="str">
        <f t="shared" si="13"/>
        <v/>
      </c>
    </row>
    <row r="876" spans="18:18" x14ac:dyDescent="0.3">
      <c r="R876" t="str">
        <f t="shared" si="13"/>
        <v/>
      </c>
    </row>
    <row r="877" spans="18:18" x14ac:dyDescent="0.3">
      <c r="R877" t="str">
        <f t="shared" si="13"/>
        <v/>
      </c>
    </row>
    <row r="878" spans="18:18" x14ac:dyDescent="0.3">
      <c r="R878" t="str">
        <f t="shared" si="13"/>
        <v/>
      </c>
    </row>
    <row r="879" spans="18:18" x14ac:dyDescent="0.3">
      <c r="R879" t="str">
        <f t="shared" si="13"/>
        <v/>
      </c>
    </row>
    <row r="880" spans="18:18" x14ac:dyDescent="0.3">
      <c r="R880" t="str">
        <f t="shared" si="13"/>
        <v/>
      </c>
    </row>
    <row r="881" spans="18:18" x14ac:dyDescent="0.3">
      <c r="R881" t="str">
        <f t="shared" si="13"/>
        <v/>
      </c>
    </row>
    <row r="882" spans="18:18" x14ac:dyDescent="0.3">
      <c r="R882" t="str">
        <f t="shared" si="13"/>
        <v/>
      </c>
    </row>
    <row r="883" spans="18:18" x14ac:dyDescent="0.3">
      <c r="R883" t="str">
        <f t="shared" si="13"/>
        <v/>
      </c>
    </row>
    <row r="884" spans="18:18" x14ac:dyDescent="0.3">
      <c r="R884" t="str">
        <f t="shared" si="13"/>
        <v/>
      </c>
    </row>
    <row r="885" spans="18:18" x14ac:dyDescent="0.3">
      <c r="R885" t="str">
        <f t="shared" si="13"/>
        <v/>
      </c>
    </row>
    <row r="886" spans="18:18" x14ac:dyDescent="0.3">
      <c r="R886" t="str">
        <f t="shared" si="13"/>
        <v/>
      </c>
    </row>
    <row r="887" spans="18:18" x14ac:dyDescent="0.3">
      <c r="R887" t="str">
        <f t="shared" si="13"/>
        <v/>
      </c>
    </row>
    <row r="888" spans="18:18" x14ac:dyDescent="0.3">
      <c r="R888" t="str">
        <f t="shared" si="13"/>
        <v/>
      </c>
    </row>
    <row r="889" spans="18:18" x14ac:dyDescent="0.3">
      <c r="R889" t="str">
        <f t="shared" si="13"/>
        <v/>
      </c>
    </row>
    <row r="890" spans="18:18" x14ac:dyDescent="0.3">
      <c r="R890" t="str">
        <f t="shared" si="13"/>
        <v/>
      </c>
    </row>
    <row r="891" spans="18:18" x14ac:dyDescent="0.3">
      <c r="R891" t="str">
        <f t="shared" si="13"/>
        <v/>
      </c>
    </row>
    <row r="892" spans="18:18" x14ac:dyDescent="0.3">
      <c r="R892" t="str">
        <f t="shared" si="13"/>
        <v/>
      </c>
    </row>
    <row r="893" spans="18:18" x14ac:dyDescent="0.3">
      <c r="R893" t="str">
        <f t="shared" si="13"/>
        <v/>
      </c>
    </row>
    <row r="894" spans="18:18" x14ac:dyDescent="0.3">
      <c r="R894" t="str">
        <f t="shared" si="13"/>
        <v/>
      </c>
    </row>
    <row r="895" spans="18:18" x14ac:dyDescent="0.3">
      <c r="R895" t="str">
        <f t="shared" si="13"/>
        <v/>
      </c>
    </row>
    <row r="896" spans="18:18" x14ac:dyDescent="0.3">
      <c r="R896" t="str">
        <f t="shared" si="13"/>
        <v/>
      </c>
    </row>
    <row r="897" spans="18:18" x14ac:dyDescent="0.3">
      <c r="R897" t="str">
        <f t="shared" si="13"/>
        <v/>
      </c>
    </row>
    <row r="898" spans="18:18" x14ac:dyDescent="0.3">
      <c r="R898" t="str">
        <f t="shared" ref="R898:R961" si="14">IF($F898="","",$F898+ROW()/1000000)</f>
        <v/>
      </c>
    </row>
    <row r="899" spans="18:18" x14ac:dyDescent="0.3">
      <c r="R899" t="str">
        <f t="shared" si="14"/>
        <v/>
      </c>
    </row>
    <row r="900" spans="18:18" x14ac:dyDescent="0.3">
      <c r="R900" t="str">
        <f t="shared" si="14"/>
        <v/>
      </c>
    </row>
    <row r="901" spans="18:18" x14ac:dyDescent="0.3">
      <c r="R901" t="str">
        <f t="shared" si="14"/>
        <v/>
      </c>
    </row>
    <row r="902" spans="18:18" x14ac:dyDescent="0.3">
      <c r="R902" t="str">
        <f t="shared" si="14"/>
        <v/>
      </c>
    </row>
    <row r="903" spans="18:18" x14ac:dyDescent="0.3">
      <c r="R903" t="str">
        <f t="shared" si="14"/>
        <v/>
      </c>
    </row>
    <row r="904" spans="18:18" x14ac:dyDescent="0.3">
      <c r="R904" t="str">
        <f t="shared" si="14"/>
        <v/>
      </c>
    </row>
    <row r="905" spans="18:18" x14ac:dyDescent="0.3">
      <c r="R905" t="str">
        <f t="shared" si="14"/>
        <v/>
      </c>
    </row>
    <row r="906" spans="18:18" x14ac:dyDescent="0.3">
      <c r="R906" t="str">
        <f t="shared" si="14"/>
        <v/>
      </c>
    </row>
    <row r="907" spans="18:18" x14ac:dyDescent="0.3">
      <c r="R907" t="str">
        <f t="shared" si="14"/>
        <v/>
      </c>
    </row>
    <row r="908" spans="18:18" x14ac:dyDescent="0.3">
      <c r="R908" t="str">
        <f t="shared" si="14"/>
        <v/>
      </c>
    </row>
    <row r="909" spans="18:18" x14ac:dyDescent="0.3">
      <c r="R909" t="str">
        <f t="shared" si="14"/>
        <v/>
      </c>
    </row>
    <row r="910" spans="18:18" x14ac:dyDescent="0.3">
      <c r="R910" t="str">
        <f t="shared" si="14"/>
        <v/>
      </c>
    </row>
    <row r="911" spans="18:18" x14ac:dyDescent="0.3">
      <c r="R911" t="str">
        <f t="shared" si="14"/>
        <v/>
      </c>
    </row>
    <row r="912" spans="18:18" x14ac:dyDescent="0.3">
      <c r="R912" t="str">
        <f t="shared" si="14"/>
        <v/>
      </c>
    </row>
    <row r="913" spans="18:18" x14ac:dyDescent="0.3">
      <c r="R913" t="str">
        <f t="shared" si="14"/>
        <v/>
      </c>
    </row>
    <row r="914" spans="18:18" x14ac:dyDescent="0.3">
      <c r="R914" t="str">
        <f t="shared" si="14"/>
        <v/>
      </c>
    </row>
    <row r="915" spans="18:18" x14ac:dyDescent="0.3">
      <c r="R915" t="str">
        <f t="shared" si="14"/>
        <v/>
      </c>
    </row>
    <row r="916" spans="18:18" x14ac:dyDescent="0.3">
      <c r="R916" t="str">
        <f t="shared" si="14"/>
        <v/>
      </c>
    </row>
    <row r="917" spans="18:18" x14ac:dyDescent="0.3">
      <c r="R917" t="str">
        <f t="shared" si="14"/>
        <v/>
      </c>
    </row>
    <row r="918" spans="18:18" x14ac:dyDescent="0.3">
      <c r="R918" t="str">
        <f t="shared" si="14"/>
        <v/>
      </c>
    </row>
    <row r="919" spans="18:18" x14ac:dyDescent="0.3">
      <c r="R919" t="str">
        <f t="shared" si="14"/>
        <v/>
      </c>
    </row>
    <row r="920" spans="18:18" x14ac:dyDescent="0.3">
      <c r="R920" t="str">
        <f t="shared" si="14"/>
        <v/>
      </c>
    </row>
    <row r="921" spans="18:18" x14ac:dyDescent="0.3">
      <c r="R921" t="str">
        <f t="shared" si="14"/>
        <v/>
      </c>
    </row>
    <row r="922" spans="18:18" x14ac:dyDescent="0.3">
      <c r="R922" t="str">
        <f t="shared" si="14"/>
        <v/>
      </c>
    </row>
    <row r="923" spans="18:18" x14ac:dyDescent="0.3">
      <c r="R923" t="str">
        <f t="shared" si="14"/>
        <v/>
      </c>
    </row>
    <row r="924" spans="18:18" x14ac:dyDescent="0.3">
      <c r="R924" t="str">
        <f t="shared" si="14"/>
        <v/>
      </c>
    </row>
    <row r="925" spans="18:18" x14ac:dyDescent="0.3">
      <c r="R925" t="str">
        <f t="shared" si="14"/>
        <v/>
      </c>
    </row>
    <row r="926" spans="18:18" x14ac:dyDescent="0.3">
      <c r="R926" t="str">
        <f t="shared" si="14"/>
        <v/>
      </c>
    </row>
    <row r="927" spans="18:18" x14ac:dyDescent="0.3">
      <c r="R927" t="str">
        <f t="shared" si="14"/>
        <v/>
      </c>
    </row>
    <row r="928" spans="18:18" x14ac:dyDescent="0.3">
      <c r="R928" t="str">
        <f t="shared" si="14"/>
        <v/>
      </c>
    </row>
    <row r="929" spans="18:18" x14ac:dyDescent="0.3">
      <c r="R929" t="str">
        <f t="shared" si="14"/>
        <v/>
      </c>
    </row>
    <row r="930" spans="18:18" x14ac:dyDescent="0.3">
      <c r="R930" t="str">
        <f t="shared" si="14"/>
        <v/>
      </c>
    </row>
    <row r="931" spans="18:18" x14ac:dyDescent="0.3">
      <c r="R931" t="str">
        <f t="shared" si="14"/>
        <v/>
      </c>
    </row>
    <row r="932" spans="18:18" x14ac:dyDescent="0.3">
      <c r="R932" t="str">
        <f t="shared" si="14"/>
        <v/>
      </c>
    </row>
    <row r="933" spans="18:18" x14ac:dyDescent="0.3">
      <c r="R933" t="str">
        <f t="shared" si="14"/>
        <v/>
      </c>
    </row>
    <row r="934" spans="18:18" x14ac:dyDescent="0.3">
      <c r="R934" t="str">
        <f t="shared" si="14"/>
        <v/>
      </c>
    </row>
    <row r="935" spans="18:18" x14ac:dyDescent="0.3">
      <c r="R935" t="str">
        <f t="shared" si="14"/>
        <v/>
      </c>
    </row>
    <row r="936" spans="18:18" x14ac:dyDescent="0.3">
      <c r="R936" t="str">
        <f t="shared" si="14"/>
        <v/>
      </c>
    </row>
    <row r="937" spans="18:18" x14ac:dyDescent="0.3">
      <c r="R937" t="str">
        <f t="shared" si="14"/>
        <v/>
      </c>
    </row>
    <row r="938" spans="18:18" x14ac:dyDescent="0.3">
      <c r="R938" t="str">
        <f t="shared" si="14"/>
        <v/>
      </c>
    </row>
    <row r="939" spans="18:18" x14ac:dyDescent="0.3">
      <c r="R939" t="str">
        <f t="shared" si="14"/>
        <v/>
      </c>
    </row>
    <row r="940" spans="18:18" x14ac:dyDescent="0.3">
      <c r="R940" t="str">
        <f t="shared" si="14"/>
        <v/>
      </c>
    </row>
    <row r="941" spans="18:18" x14ac:dyDescent="0.3">
      <c r="R941" t="str">
        <f t="shared" si="14"/>
        <v/>
      </c>
    </row>
    <row r="942" spans="18:18" x14ac:dyDescent="0.3">
      <c r="R942" t="str">
        <f t="shared" si="14"/>
        <v/>
      </c>
    </row>
    <row r="943" spans="18:18" x14ac:dyDescent="0.3">
      <c r="R943" t="str">
        <f t="shared" si="14"/>
        <v/>
      </c>
    </row>
    <row r="944" spans="18:18" x14ac:dyDescent="0.3">
      <c r="R944" t="str">
        <f t="shared" si="14"/>
        <v/>
      </c>
    </row>
    <row r="945" spans="18:18" x14ac:dyDescent="0.3">
      <c r="R945" t="str">
        <f t="shared" si="14"/>
        <v/>
      </c>
    </row>
    <row r="946" spans="18:18" x14ac:dyDescent="0.3">
      <c r="R946" t="str">
        <f t="shared" si="14"/>
        <v/>
      </c>
    </row>
    <row r="947" spans="18:18" x14ac:dyDescent="0.3">
      <c r="R947" t="str">
        <f t="shared" si="14"/>
        <v/>
      </c>
    </row>
    <row r="948" spans="18:18" x14ac:dyDescent="0.3">
      <c r="R948" t="str">
        <f t="shared" si="14"/>
        <v/>
      </c>
    </row>
    <row r="949" spans="18:18" x14ac:dyDescent="0.3">
      <c r="R949" t="str">
        <f t="shared" si="14"/>
        <v/>
      </c>
    </row>
    <row r="950" spans="18:18" x14ac:dyDescent="0.3">
      <c r="R950" t="str">
        <f t="shared" si="14"/>
        <v/>
      </c>
    </row>
    <row r="951" spans="18:18" x14ac:dyDescent="0.3">
      <c r="R951" t="str">
        <f t="shared" si="14"/>
        <v/>
      </c>
    </row>
    <row r="952" spans="18:18" x14ac:dyDescent="0.3">
      <c r="R952" t="str">
        <f t="shared" si="14"/>
        <v/>
      </c>
    </row>
    <row r="953" spans="18:18" x14ac:dyDescent="0.3">
      <c r="R953" t="str">
        <f t="shared" si="14"/>
        <v/>
      </c>
    </row>
    <row r="954" spans="18:18" x14ac:dyDescent="0.3">
      <c r="R954" t="str">
        <f t="shared" si="14"/>
        <v/>
      </c>
    </row>
    <row r="955" spans="18:18" x14ac:dyDescent="0.3">
      <c r="R955" t="str">
        <f t="shared" si="14"/>
        <v/>
      </c>
    </row>
    <row r="956" spans="18:18" x14ac:dyDescent="0.3">
      <c r="R956" t="str">
        <f t="shared" si="14"/>
        <v/>
      </c>
    </row>
    <row r="957" spans="18:18" x14ac:dyDescent="0.3">
      <c r="R957" t="str">
        <f t="shared" si="14"/>
        <v/>
      </c>
    </row>
    <row r="958" spans="18:18" x14ac:dyDescent="0.3">
      <c r="R958" t="str">
        <f t="shared" si="14"/>
        <v/>
      </c>
    </row>
    <row r="959" spans="18:18" x14ac:dyDescent="0.3">
      <c r="R959" t="str">
        <f t="shared" si="14"/>
        <v/>
      </c>
    </row>
    <row r="960" spans="18:18" x14ac:dyDescent="0.3">
      <c r="R960" t="str">
        <f t="shared" si="14"/>
        <v/>
      </c>
    </row>
    <row r="961" spans="18:18" x14ac:dyDescent="0.3">
      <c r="R961" t="str">
        <f t="shared" si="14"/>
        <v/>
      </c>
    </row>
    <row r="962" spans="18:18" x14ac:dyDescent="0.3">
      <c r="R962" t="str">
        <f t="shared" ref="R962:R1000" si="15">IF($F962="","",$F962+ROW()/1000000)</f>
        <v/>
      </c>
    </row>
    <row r="963" spans="18:18" x14ac:dyDescent="0.3">
      <c r="R963" t="str">
        <f t="shared" si="15"/>
        <v/>
      </c>
    </row>
    <row r="964" spans="18:18" x14ac:dyDescent="0.3">
      <c r="R964" t="str">
        <f t="shared" si="15"/>
        <v/>
      </c>
    </row>
    <row r="965" spans="18:18" x14ac:dyDescent="0.3">
      <c r="R965" t="str">
        <f t="shared" si="15"/>
        <v/>
      </c>
    </row>
    <row r="966" spans="18:18" x14ac:dyDescent="0.3">
      <c r="R966" t="str">
        <f t="shared" si="15"/>
        <v/>
      </c>
    </row>
    <row r="967" spans="18:18" x14ac:dyDescent="0.3">
      <c r="R967" t="str">
        <f t="shared" si="15"/>
        <v/>
      </c>
    </row>
    <row r="968" spans="18:18" x14ac:dyDescent="0.3">
      <c r="R968" t="str">
        <f t="shared" si="15"/>
        <v/>
      </c>
    </row>
    <row r="969" spans="18:18" x14ac:dyDescent="0.3">
      <c r="R969" t="str">
        <f t="shared" si="15"/>
        <v/>
      </c>
    </row>
    <row r="970" spans="18:18" x14ac:dyDescent="0.3">
      <c r="R970" t="str">
        <f t="shared" si="15"/>
        <v/>
      </c>
    </row>
    <row r="971" spans="18:18" x14ac:dyDescent="0.3">
      <c r="R971" t="str">
        <f t="shared" si="15"/>
        <v/>
      </c>
    </row>
    <row r="972" spans="18:18" x14ac:dyDescent="0.3">
      <c r="R972" t="str">
        <f t="shared" si="15"/>
        <v/>
      </c>
    </row>
    <row r="973" spans="18:18" x14ac:dyDescent="0.3">
      <c r="R973" t="str">
        <f t="shared" si="15"/>
        <v/>
      </c>
    </row>
    <row r="974" spans="18:18" x14ac:dyDescent="0.3">
      <c r="R974" t="str">
        <f t="shared" si="15"/>
        <v/>
      </c>
    </row>
    <row r="975" spans="18:18" x14ac:dyDescent="0.3">
      <c r="R975" t="str">
        <f t="shared" si="15"/>
        <v/>
      </c>
    </row>
    <row r="976" spans="18:18" x14ac:dyDescent="0.3">
      <c r="R976" t="str">
        <f t="shared" si="15"/>
        <v/>
      </c>
    </row>
    <row r="977" spans="18:18" x14ac:dyDescent="0.3">
      <c r="R977" t="str">
        <f t="shared" si="15"/>
        <v/>
      </c>
    </row>
    <row r="978" spans="18:18" x14ac:dyDescent="0.3">
      <c r="R978" t="str">
        <f t="shared" si="15"/>
        <v/>
      </c>
    </row>
    <row r="979" spans="18:18" x14ac:dyDescent="0.3">
      <c r="R979" t="str">
        <f t="shared" si="15"/>
        <v/>
      </c>
    </row>
    <row r="980" spans="18:18" x14ac:dyDescent="0.3">
      <c r="R980" t="str">
        <f t="shared" si="15"/>
        <v/>
      </c>
    </row>
    <row r="981" spans="18:18" x14ac:dyDescent="0.3">
      <c r="R981" t="str">
        <f t="shared" si="15"/>
        <v/>
      </c>
    </row>
    <row r="982" spans="18:18" x14ac:dyDescent="0.3">
      <c r="R982" t="str">
        <f t="shared" si="15"/>
        <v/>
      </c>
    </row>
    <row r="983" spans="18:18" x14ac:dyDescent="0.3">
      <c r="R983" t="str">
        <f t="shared" si="15"/>
        <v/>
      </c>
    </row>
    <row r="984" spans="18:18" x14ac:dyDescent="0.3">
      <c r="R984" t="str">
        <f t="shared" si="15"/>
        <v/>
      </c>
    </row>
    <row r="985" spans="18:18" x14ac:dyDescent="0.3">
      <c r="R985" t="str">
        <f t="shared" si="15"/>
        <v/>
      </c>
    </row>
    <row r="986" spans="18:18" x14ac:dyDescent="0.3">
      <c r="R986" t="str">
        <f t="shared" si="15"/>
        <v/>
      </c>
    </row>
    <row r="987" spans="18:18" x14ac:dyDescent="0.3">
      <c r="R987" t="str">
        <f t="shared" si="15"/>
        <v/>
      </c>
    </row>
    <row r="988" spans="18:18" x14ac:dyDescent="0.3">
      <c r="R988" t="str">
        <f t="shared" si="15"/>
        <v/>
      </c>
    </row>
    <row r="989" spans="18:18" x14ac:dyDescent="0.3">
      <c r="R989" t="str">
        <f t="shared" si="15"/>
        <v/>
      </c>
    </row>
    <row r="990" spans="18:18" x14ac:dyDescent="0.3">
      <c r="R990" t="str">
        <f t="shared" si="15"/>
        <v/>
      </c>
    </row>
    <row r="991" spans="18:18" x14ac:dyDescent="0.3">
      <c r="R991" t="str">
        <f t="shared" si="15"/>
        <v/>
      </c>
    </row>
    <row r="992" spans="18:18" x14ac:dyDescent="0.3">
      <c r="R992" t="str">
        <f t="shared" si="15"/>
        <v/>
      </c>
    </row>
    <row r="993" spans="18:18" x14ac:dyDescent="0.3">
      <c r="R993" t="str">
        <f t="shared" si="15"/>
        <v/>
      </c>
    </row>
    <row r="994" spans="18:18" x14ac:dyDescent="0.3">
      <c r="R994" t="str">
        <f t="shared" si="15"/>
        <v/>
      </c>
    </row>
    <row r="995" spans="18:18" x14ac:dyDescent="0.3">
      <c r="R995" t="str">
        <f t="shared" si="15"/>
        <v/>
      </c>
    </row>
    <row r="996" spans="18:18" x14ac:dyDescent="0.3">
      <c r="R996" t="str">
        <f t="shared" si="15"/>
        <v/>
      </c>
    </row>
    <row r="997" spans="18:18" x14ac:dyDescent="0.3">
      <c r="R997" t="str">
        <f t="shared" si="15"/>
        <v/>
      </c>
    </row>
    <row r="998" spans="18:18" x14ac:dyDescent="0.3">
      <c r="R998" t="str">
        <f t="shared" si="15"/>
        <v/>
      </c>
    </row>
    <row r="999" spans="18:18" x14ac:dyDescent="0.3">
      <c r="R999" t="str">
        <f t="shared" si="15"/>
        <v/>
      </c>
    </row>
    <row r="1000" spans="18:18" x14ac:dyDescent="0.3">
      <c r="R1000" t="str">
        <f t="shared" si="15"/>
        <v/>
      </c>
    </row>
  </sheetData>
  <pageMargins left="0.75" right="0.75" top="1" bottom="1" header="0.5" footer="0.5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76"/>
  <sheetViews>
    <sheetView showGridLines="0" tabSelected="1" workbookViewId="0">
      <selection activeCell="D8" sqref="D8"/>
    </sheetView>
  </sheetViews>
  <sheetFormatPr defaultRowHeight="14.4" x14ac:dyDescent="0.3"/>
  <cols>
    <col min="1" max="1" width="24" customWidth="1"/>
    <col min="2" max="2" width="18" customWidth="1"/>
    <col min="3" max="3" width="12" hidden="1" customWidth="1"/>
  </cols>
  <sheetData>
    <row r="1" spans="1:3" x14ac:dyDescent="0.3">
      <c r="A1" s="17" t="s">
        <v>39</v>
      </c>
      <c r="B1" s="18"/>
    </row>
    <row r="2" spans="1:3" x14ac:dyDescent="0.3">
      <c r="A2" s="14" t="s">
        <v>40</v>
      </c>
      <c r="B2" s="15" t="s">
        <v>2</v>
      </c>
    </row>
    <row r="3" spans="1:3" x14ac:dyDescent="0.3">
      <c r="A3" s="14" t="s">
        <v>41</v>
      </c>
      <c r="B3" s="15" t="s">
        <v>16</v>
      </c>
    </row>
    <row r="5" spans="1:3" ht="15.6" customHeight="1" x14ac:dyDescent="0.3">
      <c r="A5" s="5" t="s">
        <v>42</v>
      </c>
    </row>
    <row r="7" spans="1:3" x14ac:dyDescent="0.3">
      <c r="A7" s="12" t="s">
        <v>43</v>
      </c>
      <c r="B7" s="10">
        <f>SUMIFS(TabelaDojazdow[Mecze],TabelaDojazdow[Sezon],$B$2,TabelaDojazdow[Województwo],$B$3)</f>
        <v>0</v>
      </c>
    </row>
    <row r="8" spans="1:3" x14ac:dyDescent="0.3">
      <c r="A8" s="12" t="s">
        <v>44</v>
      </c>
      <c r="B8" s="11" t="str">
        <f>IF($B$7=0,"—",SUMPRODUCT((TabelaDojazdow[Średni km]*TabelaDojazdow[Mecze])*--(TabelaDojazdow[Sezon]=$B$2)*--(TabelaDojazdow[Województwo]=$B$3))/$B$7)</f>
        <v>—</v>
      </c>
    </row>
    <row r="9" spans="1:3" x14ac:dyDescent="0.3">
      <c r="A9" s="12" t="s">
        <v>45</v>
      </c>
      <c r="B9" s="10">
        <f>COUNTIFS(TabelaDojazdow[Sezon],$B$2,TabelaDojazdow[Województwo],$B$3)</f>
        <v>0</v>
      </c>
    </row>
    <row r="10" spans="1:3" x14ac:dyDescent="0.3">
      <c r="A10" t="s">
        <v>26</v>
      </c>
      <c r="B10">
        <f>SUMIFS(TabelaDojazdow[Suma km],TabelaDojazdow[Sezon],$B$2,TabelaDojazdow[Województwo],$B$3)</f>
        <v>0</v>
      </c>
    </row>
    <row r="11" spans="1:3" x14ac:dyDescent="0.3">
      <c r="A11" s="6" t="s">
        <v>46</v>
      </c>
      <c r="B11" s="6" t="s">
        <v>25</v>
      </c>
      <c r="C11" s="6" t="s">
        <v>47</v>
      </c>
    </row>
    <row r="12" spans="1:3" x14ac:dyDescent="0.3">
      <c r="A12" s="7" t="s">
        <v>30</v>
      </c>
      <c r="B12" s="7">
        <f>SUMIFS(TabelaDojazdow[0-15],TabelaDojazdow[Sezon],$B$2,TabelaDojazdow[Województwo],$B$3)</f>
        <v>0</v>
      </c>
      <c r="C12" s="8">
        <f t="shared" ref="C12:C18" si="0">IF(SUM($B$12:$B$18)=0,0,B12/SUM($B$12:$B$18))</f>
        <v>0</v>
      </c>
    </row>
    <row r="13" spans="1:3" x14ac:dyDescent="0.3">
      <c r="A13" s="7" t="s">
        <v>31</v>
      </c>
      <c r="B13" s="7">
        <f>SUMIFS(TabelaDojazdow[16-30],TabelaDojazdow[Sezon],$B$2,TabelaDojazdow[Województwo],$B$3)</f>
        <v>0</v>
      </c>
      <c r="C13" s="8">
        <f t="shared" si="0"/>
        <v>0</v>
      </c>
    </row>
    <row r="14" spans="1:3" x14ac:dyDescent="0.3">
      <c r="A14" s="7" t="s">
        <v>32</v>
      </c>
      <c r="B14" s="7">
        <f>SUMIFS(TabelaDojazdow[31-45],TabelaDojazdow[Sezon],$B$2,TabelaDojazdow[Województwo],$B$3)</f>
        <v>0</v>
      </c>
      <c r="C14" s="8">
        <f t="shared" si="0"/>
        <v>0</v>
      </c>
    </row>
    <row r="15" spans="1:3" x14ac:dyDescent="0.3">
      <c r="A15" s="7" t="s">
        <v>33</v>
      </c>
      <c r="B15" s="7">
        <f>SUMIFS(TabelaDojazdow[46-60],TabelaDojazdow[Sezon],$B$2,TabelaDojazdow[Województwo],$B$3)</f>
        <v>0</v>
      </c>
      <c r="C15" s="8">
        <f t="shared" si="0"/>
        <v>0</v>
      </c>
    </row>
    <row r="16" spans="1:3" x14ac:dyDescent="0.3">
      <c r="A16" s="7" t="s">
        <v>34</v>
      </c>
      <c r="B16" s="7">
        <f>SUMIFS(TabelaDojazdow[61-80],TabelaDojazdow[Sezon],$B$2,TabelaDojazdow[Województwo],$B$3)</f>
        <v>0</v>
      </c>
      <c r="C16" s="8">
        <f t="shared" si="0"/>
        <v>0</v>
      </c>
    </row>
    <row r="17" spans="1:3" x14ac:dyDescent="0.3">
      <c r="A17" s="7" t="s">
        <v>35</v>
      </c>
      <c r="B17" s="7">
        <f>SUMIFS(TabelaDojazdow[81-100],TabelaDojazdow[Sezon],$B$2,TabelaDojazdow[Województwo],$B$3)</f>
        <v>0</v>
      </c>
      <c r="C17" s="8">
        <f t="shared" si="0"/>
        <v>0</v>
      </c>
    </row>
    <row r="18" spans="1:3" x14ac:dyDescent="0.3">
      <c r="A18" s="7" t="s">
        <v>36</v>
      </c>
      <c r="B18" s="7">
        <f>SUMIFS(TabelaDojazdow[&gt;100],TabelaDojazdow[Sezon],$B$2,TabelaDojazdow[Województwo],$B$3)</f>
        <v>0</v>
      </c>
      <c r="C18" s="8">
        <f t="shared" si="0"/>
        <v>0</v>
      </c>
    </row>
    <row r="21" spans="1:3" x14ac:dyDescent="0.3">
      <c r="A21" s="4" t="s">
        <v>48</v>
      </c>
    </row>
    <row r="22" spans="1:3" ht="43.2" customHeight="1" x14ac:dyDescent="0.3">
      <c r="A22" s="9" t="s">
        <v>49</v>
      </c>
    </row>
    <row r="23" spans="1:3" ht="43.2" customHeight="1" x14ac:dyDescent="0.3">
      <c r="A23" s="9" t="s">
        <v>50</v>
      </c>
    </row>
    <row r="24" spans="1:3" ht="57.6" customHeight="1" x14ac:dyDescent="0.3">
      <c r="A24" s="9" t="s">
        <v>51</v>
      </c>
    </row>
    <row r="26" spans="1:3" x14ac:dyDescent="0.3">
      <c r="A26" t="s">
        <v>52</v>
      </c>
      <c r="B26" t="s">
        <v>26</v>
      </c>
      <c r="C26" t="s">
        <v>38</v>
      </c>
    </row>
    <row r="27" spans="1:3" x14ac:dyDescent="0.3">
      <c r="A27" t="str">
        <f ca="1">IF($C27="","",INDEX(Dane!$D$2:$D$1000,MATCH($C27,Dane!$R$2:$R$1000,0)))</f>
        <v/>
      </c>
      <c r="B27" t="str">
        <f t="shared" ref="B27:B58" ca="1" si="1">IF($C27="","",INT($C27))</f>
        <v/>
      </c>
      <c r="C27" t="str">
        <f ca="1">IFERROR(_xludf.AGGREGATE(14,6,Dane!$R$2:$R$1000/((Dane!$A$2:$A$1000=$B$2)*(Dane!$B$2:$B$1000=$B$3)),ROWS($C$27:C27)),"")</f>
        <v/>
      </c>
    </row>
    <row r="28" spans="1:3" x14ac:dyDescent="0.3">
      <c r="A28" t="str">
        <f ca="1">IF($C28="","",INDEX(Dane!$D$2:$D$1000,MATCH($C28,Dane!$R$2:$R$1000,0)))</f>
        <v/>
      </c>
      <c r="B28" t="str">
        <f t="shared" ca="1" si="1"/>
        <v/>
      </c>
      <c r="C28" t="str">
        <f ca="1">IFERROR(_xludf.AGGREGATE(14,6,Dane!$R$2:$R$1000/((Dane!$A$2:$A$1000=$B$2)*(Dane!$B$2:$B$1000=$B$3)),ROWS($C$27:C28)),"")</f>
        <v/>
      </c>
    </row>
    <row r="29" spans="1:3" x14ac:dyDescent="0.3">
      <c r="A29" t="str">
        <f ca="1">IF($C29="","",INDEX(Dane!$D$2:$D$1000,MATCH($C29,Dane!$R$2:$R$1000,0)))</f>
        <v/>
      </c>
      <c r="B29" t="str">
        <f t="shared" ca="1" si="1"/>
        <v/>
      </c>
      <c r="C29" t="str">
        <f ca="1">IFERROR(_xludf.AGGREGATE(14,6,Dane!$R$2:$R$1000/((Dane!$A$2:$A$1000=$B$2)*(Dane!$B$2:$B$1000=$B$3)),ROWS($C$27:C29)),"")</f>
        <v/>
      </c>
    </row>
    <row r="30" spans="1:3" x14ac:dyDescent="0.3">
      <c r="A30" t="str">
        <f ca="1">IF($C30="","",INDEX(Dane!$D$2:$D$1000,MATCH($C30,Dane!$R$2:$R$1000,0)))</f>
        <v/>
      </c>
      <c r="B30" t="str">
        <f t="shared" ca="1" si="1"/>
        <v/>
      </c>
      <c r="C30" t="str">
        <f ca="1">IFERROR(_xludf.AGGREGATE(14,6,Dane!$R$2:$R$1000/((Dane!$A$2:$A$1000=$B$2)*(Dane!$B$2:$B$1000=$B$3)),ROWS($C$27:C30)),"")</f>
        <v/>
      </c>
    </row>
    <row r="31" spans="1:3" x14ac:dyDescent="0.3">
      <c r="A31" t="str">
        <f ca="1">IF($C31="","",INDEX(Dane!$D$2:$D$1000,MATCH($C31,Dane!$R$2:$R$1000,0)))</f>
        <v/>
      </c>
      <c r="B31" t="str">
        <f t="shared" ca="1" si="1"/>
        <v/>
      </c>
      <c r="C31" t="str">
        <f ca="1">IFERROR(_xludf.AGGREGATE(14,6,Dane!$R$2:$R$1000/((Dane!$A$2:$A$1000=$B$2)*(Dane!$B$2:$B$1000=$B$3)),ROWS($C$27:C31)),"")</f>
        <v/>
      </c>
    </row>
    <row r="32" spans="1:3" x14ac:dyDescent="0.3">
      <c r="A32" t="str">
        <f ca="1">IF($C32="","",INDEX(Dane!$D$2:$D$1000,MATCH($C32,Dane!$R$2:$R$1000,0)))</f>
        <v/>
      </c>
      <c r="B32" t="str">
        <f t="shared" ca="1" si="1"/>
        <v/>
      </c>
      <c r="C32" t="str">
        <f ca="1">IFERROR(_xludf.AGGREGATE(14,6,Dane!$R$2:$R$1000/((Dane!$A$2:$A$1000=$B$2)*(Dane!$B$2:$B$1000=$B$3)),ROWS($C$27:C32)),"")</f>
        <v/>
      </c>
    </row>
    <row r="33" spans="1:3" x14ac:dyDescent="0.3">
      <c r="A33" t="str">
        <f ca="1">IF($C33="","",INDEX(Dane!$D$2:$D$1000,MATCH($C33,Dane!$R$2:$R$1000,0)))</f>
        <v/>
      </c>
      <c r="B33" t="str">
        <f t="shared" ca="1" si="1"/>
        <v/>
      </c>
      <c r="C33" t="str">
        <f ca="1">IFERROR(_xludf.AGGREGATE(14,6,Dane!$R$2:$R$1000/((Dane!$A$2:$A$1000=$B$2)*(Dane!$B$2:$B$1000=$B$3)),ROWS($C$27:C33)),"")</f>
        <v/>
      </c>
    </row>
    <row r="34" spans="1:3" x14ac:dyDescent="0.3">
      <c r="A34" t="str">
        <f ca="1">IF($C34="","",INDEX(Dane!$D$2:$D$1000,MATCH($C34,Dane!$R$2:$R$1000,0)))</f>
        <v/>
      </c>
      <c r="B34" t="str">
        <f t="shared" ca="1" si="1"/>
        <v/>
      </c>
      <c r="C34" t="str">
        <f ca="1">IFERROR(_xludf.AGGREGATE(14,6,Dane!$R$2:$R$1000/((Dane!$A$2:$A$1000=$B$2)*(Dane!$B$2:$B$1000=$B$3)),ROWS($C$27:C34)),"")</f>
        <v/>
      </c>
    </row>
    <row r="35" spans="1:3" x14ac:dyDescent="0.3">
      <c r="A35" t="str">
        <f ca="1">IF($C35="","",INDEX(Dane!$D$2:$D$1000,MATCH($C35,Dane!$R$2:$R$1000,0)))</f>
        <v/>
      </c>
      <c r="B35" t="str">
        <f t="shared" ca="1" si="1"/>
        <v/>
      </c>
      <c r="C35" t="str">
        <f ca="1">IFERROR(_xludf.AGGREGATE(14,6,Dane!$R$2:$R$1000/((Dane!$A$2:$A$1000=$B$2)*(Dane!$B$2:$B$1000=$B$3)),ROWS($C$27:C35)),"")</f>
        <v/>
      </c>
    </row>
    <row r="36" spans="1:3" x14ac:dyDescent="0.3">
      <c r="A36" t="str">
        <f ca="1">IF($C36="","",INDEX(Dane!$D$2:$D$1000,MATCH($C36,Dane!$R$2:$R$1000,0)))</f>
        <v/>
      </c>
      <c r="B36" t="str">
        <f t="shared" ca="1" si="1"/>
        <v/>
      </c>
      <c r="C36" t="str">
        <f ca="1">IFERROR(_xludf.AGGREGATE(14,6,Dane!$R$2:$R$1000/((Dane!$A$2:$A$1000=$B$2)*(Dane!$B$2:$B$1000=$B$3)),ROWS($C$27:C36)),"")</f>
        <v/>
      </c>
    </row>
    <row r="37" spans="1:3" x14ac:dyDescent="0.3">
      <c r="A37" t="str">
        <f ca="1">IF($C37="","",INDEX(Dane!$D$2:$D$1000,MATCH($C37,Dane!$R$2:$R$1000,0)))</f>
        <v/>
      </c>
      <c r="B37" t="str">
        <f t="shared" ca="1" si="1"/>
        <v/>
      </c>
      <c r="C37" t="str">
        <f ca="1">IFERROR(_xludf.AGGREGATE(14,6,Dane!$R$2:$R$1000/((Dane!$A$2:$A$1000=$B$2)*(Dane!$B$2:$B$1000=$B$3)),ROWS($C$27:C37)),"")</f>
        <v/>
      </c>
    </row>
    <row r="38" spans="1:3" x14ac:dyDescent="0.3">
      <c r="A38" t="str">
        <f ca="1">IF($C38="","",INDEX(Dane!$D$2:$D$1000,MATCH($C38,Dane!$R$2:$R$1000,0)))</f>
        <v/>
      </c>
      <c r="B38" t="str">
        <f t="shared" ca="1" si="1"/>
        <v/>
      </c>
      <c r="C38" t="str">
        <f ca="1">IFERROR(_xludf.AGGREGATE(14,6,Dane!$R$2:$R$1000/((Dane!$A$2:$A$1000=$B$2)*(Dane!$B$2:$B$1000=$B$3)),ROWS($C$27:C38)),"")</f>
        <v/>
      </c>
    </row>
    <row r="39" spans="1:3" x14ac:dyDescent="0.3">
      <c r="A39" t="str">
        <f ca="1">IF($C39="","",INDEX(Dane!$D$2:$D$1000,MATCH($C39,Dane!$R$2:$R$1000,0)))</f>
        <v/>
      </c>
      <c r="B39" t="str">
        <f t="shared" ca="1" si="1"/>
        <v/>
      </c>
      <c r="C39" t="str">
        <f ca="1">IFERROR(_xludf.AGGREGATE(14,6,Dane!$R$2:$R$1000/((Dane!$A$2:$A$1000=$B$2)*(Dane!$B$2:$B$1000=$B$3)),ROWS($C$27:C39)),"")</f>
        <v/>
      </c>
    </row>
    <row r="40" spans="1:3" x14ac:dyDescent="0.3">
      <c r="A40" t="str">
        <f ca="1">IF($C40="","",INDEX(Dane!$D$2:$D$1000,MATCH($C40,Dane!$R$2:$R$1000,0)))</f>
        <v/>
      </c>
      <c r="B40" t="str">
        <f t="shared" ca="1" si="1"/>
        <v/>
      </c>
      <c r="C40" t="str">
        <f ca="1">IFERROR(_xludf.AGGREGATE(14,6,Dane!$R$2:$R$1000/((Dane!$A$2:$A$1000=$B$2)*(Dane!$B$2:$B$1000=$B$3)),ROWS($C$27:C40)),"")</f>
        <v/>
      </c>
    </row>
    <row r="41" spans="1:3" x14ac:dyDescent="0.3">
      <c r="A41" t="str">
        <f ca="1">IF($C41="","",INDEX(Dane!$D$2:$D$1000,MATCH($C41,Dane!$R$2:$R$1000,0)))</f>
        <v/>
      </c>
      <c r="B41" t="str">
        <f t="shared" ca="1" si="1"/>
        <v/>
      </c>
      <c r="C41" t="str">
        <f ca="1">IFERROR(_xludf.AGGREGATE(14,6,Dane!$R$2:$R$1000/((Dane!$A$2:$A$1000=$B$2)*(Dane!$B$2:$B$1000=$B$3)),ROWS($C$27:C41)),"")</f>
        <v/>
      </c>
    </row>
    <row r="42" spans="1:3" x14ac:dyDescent="0.3">
      <c r="A42" t="str">
        <f ca="1">IF($C42="","",INDEX(Dane!$D$2:$D$1000,MATCH($C42,Dane!$R$2:$R$1000,0)))</f>
        <v/>
      </c>
      <c r="B42" t="str">
        <f t="shared" ca="1" si="1"/>
        <v/>
      </c>
      <c r="C42" t="str">
        <f ca="1">IFERROR(_xludf.AGGREGATE(14,6,Dane!$R$2:$R$1000/((Dane!$A$2:$A$1000=$B$2)*(Dane!$B$2:$B$1000=$B$3)),ROWS($C$27:C42)),"")</f>
        <v/>
      </c>
    </row>
    <row r="43" spans="1:3" x14ac:dyDescent="0.3">
      <c r="A43" t="str">
        <f ca="1">IF($C43="","",INDEX(Dane!$D$2:$D$1000,MATCH($C43,Dane!$R$2:$R$1000,0)))</f>
        <v/>
      </c>
      <c r="B43" t="str">
        <f t="shared" ca="1" si="1"/>
        <v/>
      </c>
      <c r="C43" t="str">
        <f ca="1">IFERROR(_xludf.AGGREGATE(14,6,Dane!$R$2:$R$1000/((Dane!$A$2:$A$1000=$B$2)*(Dane!$B$2:$B$1000=$B$3)),ROWS($C$27:C43)),"")</f>
        <v/>
      </c>
    </row>
    <row r="44" spans="1:3" x14ac:dyDescent="0.3">
      <c r="A44" t="str">
        <f ca="1">IF($C44="","",INDEX(Dane!$D$2:$D$1000,MATCH($C44,Dane!$R$2:$R$1000,0)))</f>
        <v/>
      </c>
      <c r="B44" t="str">
        <f t="shared" ca="1" si="1"/>
        <v/>
      </c>
      <c r="C44" t="str">
        <f ca="1">IFERROR(_xludf.AGGREGATE(14,6,Dane!$R$2:$R$1000/((Dane!$A$2:$A$1000=$B$2)*(Dane!$B$2:$B$1000=$B$3)),ROWS($C$27:C44)),"")</f>
        <v/>
      </c>
    </row>
    <row r="45" spans="1:3" x14ac:dyDescent="0.3">
      <c r="A45" t="str">
        <f ca="1">IF($C45="","",INDEX(Dane!$D$2:$D$1000,MATCH($C45,Dane!$R$2:$R$1000,0)))</f>
        <v/>
      </c>
      <c r="B45" t="str">
        <f t="shared" ca="1" si="1"/>
        <v/>
      </c>
      <c r="C45" t="str">
        <f ca="1">IFERROR(_xludf.AGGREGATE(14,6,Dane!$R$2:$R$1000/((Dane!$A$2:$A$1000=$B$2)*(Dane!$B$2:$B$1000=$B$3)),ROWS($C$27:C45)),"")</f>
        <v/>
      </c>
    </row>
    <row r="46" spans="1:3" x14ac:dyDescent="0.3">
      <c r="A46" t="str">
        <f ca="1">IF($C46="","",INDEX(Dane!$D$2:$D$1000,MATCH($C46,Dane!$R$2:$R$1000,0)))</f>
        <v/>
      </c>
      <c r="B46" t="str">
        <f t="shared" ca="1" si="1"/>
        <v/>
      </c>
      <c r="C46" t="str">
        <f ca="1">IFERROR(_xludf.AGGREGATE(14,6,Dane!$R$2:$R$1000/((Dane!$A$2:$A$1000=$B$2)*(Dane!$B$2:$B$1000=$B$3)),ROWS($C$27:C46)),"")</f>
        <v/>
      </c>
    </row>
    <row r="47" spans="1:3" x14ac:dyDescent="0.3">
      <c r="A47" t="str">
        <f ca="1">IF($C47="","",INDEX(Dane!$D$2:$D$1000,MATCH($C47,Dane!$R$2:$R$1000,0)))</f>
        <v/>
      </c>
      <c r="B47" t="str">
        <f t="shared" ca="1" si="1"/>
        <v/>
      </c>
      <c r="C47" t="str">
        <f ca="1">IFERROR(_xludf.AGGREGATE(14,6,Dane!$R$2:$R$1000/((Dane!$A$2:$A$1000=$B$2)*(Dane!$B$2:$B$1000=$B$3)),ROWS($C$27:C47)),"")</f>
        <v/>
      </c>
    </row>
    <row r="48" spans="1:3" x14ac:dyDescent="0.3">
      <c r="A48" t="str">
        <f ca="1">IF($C48="","",INDEX(Dane!$D$2:$D$1000,MATCH($C48,Dane!$R$2:$R$1000,0)))</f>
        <v/>
      </c>
      <c r="B48" t="str">
        <f t="shared" ca="1" si="1"/>
        <v/>
      </c>
      <c r="C48" t="str">
        <f ca="1">IFERROR(_xludf.AGGREGATE(14,6,Dane!$R$2:$R$1000/((Dane!$A$2:$A$1000=$B$2)*(Dane!$B$2:$B$1000=$B$3)),ROWS($C$27:C48)),"")</f>
        <v/>
      </c>
    </row>
    <row r="49" spans="1:3" x14ac:dyDescent="0.3">
      <c r="A49" t="str">
        <f ca="1">IF($C49="","",INDEX(Dane!$D$2:$D$1000,MATCH($C49,Dane!$R$2:$R$1000,0)))</f>
        <v/>
      </c>
      <c r="B49" t="str">
        <f t="shared" ca="1" si="1"/>
        <v/>
      </c>
      <c r="C49" t="str">
        <f ca="1">IFERROR(_xludf.AGGREGATE(14,6,Dane!$R$2:$R$1000/((Dane!$A$2:$A$1000=$B$2)*(Dane!$B$2:$B$1000=$B$3)),ROWS($C$27:C49)),"")</f>
        <v/>
      </c>
    </row>
    <row r="50" spans="1:3" x14ac:dyDescent="0.3">
      <c r="A50" t="str">
        <f ca="1">IF($C50="","",INDEX(Dane!$D$2:$D$1000,MATCH($C50,Dane!$R$2:$R$1000,0)))</f>
        <v/>
      </c>
      <c r="B50" t="str">
        <f t="shared" ca="1" si="1"/>
        <v/>
      </c>
      <c r="C50" t="str">
        <f ca="1">IFERROR(_xludf.AGGREGATE(14,6,Dane!$R$2:$R$1000/((Dane!$A$2:$A$1000=$B$2)*(Dane!$B$2:$B$1000=$B$3)),ROWS($C$27:C50)),"")</f>
        <v/>
      </c>
    </row>
    <row r="51" spans="1:3" x14ac:dyDescent="0.3">
      <c r="A51" t="str">
        <f ca="1">IF($C51="","",INDEX(Dane!$D$2:$D$1000,MATCH($C51,Dane!$R$2:$R$1000,0)))</f>
        <v/>
      </c>
      <c r="B51" t="str">
        <f t="shared" ca="1" si="1"/>
        <v/>
      </c>
      <c r="C51" t="str">
        <f ca="1">IFERROR(_xludf.AGGREGATE(14,6,Dane!$R$2:$R$1000/((Dane!$A$2:$A$1000=$B$2)*(Dane!$B$2:$B$1000=$B$3)),ROWS($C$27:C51)),"")</f>
        <v/>
      </c>
    </row>
    <row r="52" spans="1:3" x14ac:dyDescent="0.3">
      <c r="A52" t="str">
        <f ca="1">IF($C52="","",INDEX(Dane!$D$2:$D$1000,MATCH($C52,Dane!$R$2:$R$1000,0)))</f>
        <v/>
      </c>
      <c r="B52" t="str">
        <f t="shared" ca="1" si="1"/>
        <v/>
      </c>
      <c r="C52" t="str">
        <f ca="1">IFERROR(_xludf.AGGREGATE(14,6,Dane!$R$2:$R$1000/((Dane!$A$2:$A$1000=$B$2)*(Dane!$B$2:$B$1000=$B$3)),ROWS($C$27:C52)),"")</f>
        <v/>
      </c>
    </row>
    <row r="53" spans="1:3" x14ac:dyDescent="0.3">
      <c r="A53" t="str">
        <f ca="1">IF($C53="","",INDEX(Dane!$D$2:$D$1000,MATCH($C53,Dane!$R$2:$R$1000,0)))</f>
        <v/>
      </c>
      <c r="B53" t="str">
        <f t="shared" ca="1" si="1"/>
        <v/>
      </c>
      <c r="C53" t="str">
        <f ca="1">IFERROR(_xludf.AGGREGATE(14,6,Dane!$R$2:$R$1000/((Dane!$A$2:$A$1000=$B$2)*(Dane!$B$2:$B$1000=$B$3)),ROWS($C$27:C53)),"")</f>
        <v/>
      </c>
    </row>
    <row r="54" spans="1:3" x14ac:dyDescent="0.3">
      <c r="A54" t="str">
        <f ca="1">IF($C54="","",INDEX(Dane!$D$2:$D$1000,MATCH($C54,Dane!$R$2:$R$1000,0)))</f>
        <v/>
      </c>
      <c r="B54" t="str">
        <f t="shared" ca="1" si="1"/>
        <v/>
      </c>
      <c r="C54" t="str">
        <f ca="1">IFERROR(_xludf.AGGREGATE(14,6,Dane!$R$2:$R$1000/((Dane!$A$2:$A$1000=$B$2)*(Dane!$B$2:$B$1000=$B$3)),ROWS($C$27:C54)),"")</f>
        <v/>
      </c>
    </row>
    <row r="55" spans="1:3" x14ac:dyDescent="0.3">
      <c r="A55" t="str">
        <f ca="1">IF($C55="","",INDEX(Dane!$D$2:$D$1000,MATCH($C55,Dane!$R$2:$R$1000,0)))</f>
        <v/>
      </c>
      <c r="B55" t="str">
        <f t="shared" ca="1" si="1"/>
        <v/>
      </c>
      <c r="C55" t="str">
        <f ca="1">IFERROR(_xludf.AGGREGATE(14,6,Dane!$R$2:$R$1000/((Dane!$A$2:$A$1000=$B$2)*(Dane!$B$2:$B$1000=$B$3)),ROWS($C$27:C55)),"")</f>
        <v/>
      </c>
    </row>
    <row r="56" spans="1:3" x14ac:dyDescent="0.3">
      <c r="A56" t="str">
        <f ca="1">IF($C56="","",INDEX(Dane!$D$2:$D$1000,MATCH($C56,Dane!$R$2:$R$1000,0)))</f>
        <v/>
      </c>
      <c r="B56" t="str">
        <f t="shared" ca="1" si="1"/>
        <v/>
      </c>
      <c r="C56" t="str">
        <f ca="1">IFERROR(_xludf.AGGREGATE(14,6,Dane!$R$2:$R$1000/((Dane!$A$2:$A$1000=$B$2)*(Dane!$B$2:$B$1000=$B$3)),ROWS($C$27:C56)),"")</f>
        <v/>
      </c>
    </row>
    <row r="57" spans="1:3" x14ac:dyDescent="0.3">
      <c r="A57" t="str">
        <f ca="1">IF($C57="","",INDEX(Dane!$D$2:$D$1000,MATCH($C57,Dane!$R$2:$R$1000,0)))</f>
        <v/>
      </c>
      <c r="B57" t="str">
        <f t="shared" ca="1" si="1"/>
        <v/>
      </c>
      <c r="C57" t="str">
        <f ca="1">IFERROR(_xludf.AGGREGATE(14,6,Dane!$R$2:$R$1000/((Dane!$A$2:$A$1000=$B$2)*(Dane!$B$2:$B$1000=$B$3)),ROWS($C$27:C57)),"")</f>
        <v/>
      </c>
    </row>
    <row r="58" spans="1:3" x14ac:dyDescent="0.3">
      <c r="A58" t="str">
        <f ca="1">IF($C58="","",INDEX(Dane!$D$2:$D$1000,MATCH($C58,Dane!$R$2:$R$1000,0)))</f>
        <v/>
      </c>
      <c r="B58" t="str">
        <f t="shared" ca="1" si="1"/>
        <v/>
      </c>
      <c r="C58" t="str">
        <f ca="1">IFERROR(_xludf.AGGREGATE(14,6,Dane!$R$2:$R$1000/((Dane!$A$2:$A$1000=$B$2)*(Dane!$B$2:$B$1000=$B$3)),ROWS($C$27:C58)),"")</f>
        <v/>
      </c>
    </row>
    <row r="59" spans="1:3" x14ac:dyDescent="0.3">
      <c r="A59" t="str">
        <f ca="1">IF($C59="","",INDEX(Dane!$D$2:$D$1000,MATCH($C59,Dane!$R$2:$R$1000,0)))</f>
        <v/>
      </c>
      <c r="B59" t="str">
        <f t="shared" ref="B59:B76" ca="1" si="2">IF($C59="","",INT($C59))</f>
        <v/>
      </c>
      <c r="C59" t="str">
        <f ca="1">IFERROR(_xludf.AGGREGATE(14,6,Dane!$R$2:$R$1000/((Dane!$A$2:$A$1000=$B$2)*(Dane!$B$2:$B$1000=$B$3)),ROWS($C$27:C59)),"")</f>
        <v/>
      </c>
    </row>
    <row r="60" spans="1:3" x14ac:dyDescent="0.3">
      <c r="A60" t="str">
        <f ca="1">IF($C60="","",INDEX(Dane!$D$2:$D$1000,MATCH($C60,Dane!$R$2:$R$1000,0)))</f>
        <v/>
      </c>
      <c r="B60" t="str">
        <f t="shared" ca="1" si="2"/>
        <v/>
      </c>
      <c r="C60" t="str">
        <f ca="1">IFERROR(_xludf.AGGREGATE(14,6,Dane!$R$2:$R$1000/((Dane!$A$2:$A$1000=$B$2)*(Dane!$B$2:$B$1000=$B$3)),ROWS($C$27:C60)),"")</f>
        <v/>
      </c>
    </row>
    <row r="61" spans="1:3" x14ac:dyDescent="0.3">
      <c r="A61" t="str">
        <f ca="1">IF($C61="","",INDEX(Dane!$D$2:$D$1000,MATCH($C61,Dane!$R$2:$R$1000,0)))</f>
        <v/>
      </c>
      <c r="B61" t="str">
        <f t="shared" ca="1" si="2"/>
        <v/>
      </c>
      <c r="C61" t="str">
        <f ca="1">IFERROR(_xludf.AGGREGATE(14,6,Dane!$R$2:$R$1000/((Dane!$A$2:$A$1000=$B$2)*(Dane!$B$2:$B$1000=$B$3)),ROWS($C$27:C61)),"")</f>
        <v/>
      </c>
    </row>
    <row r="62" spans="1:3" x14ac:dyDescent="0.3">
      <c r="A62" t="str">
        <f ca="1">IF($C62="","",INDEX(Dane!$D$2:$D$1000,MATCH($C62,Dane!$R$2:$R$1000,0)))</f>
        <v/>
      </c>
      <c r="B62" t="str">
        <f t="shared" ca="1" si="2"/>
        <v/>
      </c>
      <c r="C62" t="str">
        <f ca="1">IFERROR(_xludf.AGGREGATE(14,6,Dane!$R$2:$R$1000/((Dane!$A$2:$A$1000=$B$2)*(Dane!$B$2:$B$1000=$B$3)),ROWS($C$27:C62)),"")</f>
        <v/>
      </c>
    </row>
    <row r="63" spans="1:3" x14ac:dyDescent="0.3">
      <c r="A63" t="str">
        <f ca="1">IF($C63="","",INDEX(Dane!$D$2:$D$1000,MATCH($C63,Dane!$R$2:$R$1000,0)))</f>
        <v/>
      </c>
      <c r="B63" t="str">
        <f t="shared" ca="1" si="2"/>
        <v/>
      </c>
      <c r="C63" t="str">
        <f ca="1">IFERROR(_xludf.AGGREGATE(14,6,Dane!$R$2:$R$1000/((Dane!$A$2:$A$1000=$B$2)*(Dane!$B$2:$B$1000=$B$3)),ROWS($C$27:C63)),"")</f>
        <v/>
      </c>
    </row>
    <row r="64" spans="1:3" x14ac:dyDescent="0.3">
      <c r="A64" t="str">
        <f ca="1">IF($C64="","",INDEX(Dane!$D$2:$D$1000,MATCH($C64,Dane!$R$2:$R$1000,0)))</f>
        <v/>
      </c>
      <c r="B64" t="str">
        <f t="shared" ca="1" si="2"/>
        <v/>
      </c>
      <c r="C64" t="str">
        <f ca="1">IFERROR(_xludf.AGGREGATE(14,6,Dane!$R$2:$R$1000/((Dane!$A$2:$A$1000=$B$2)*(Dane!$B$2:$B$1000=$B$3)),ROWS($C$27:C64)),"")</f>
        <v/>
      </c>
    </row>
    <row r="65" spans="1:3" x14ac:dyDescent="0.3">
      <c r="A65" t="str">
        <f ca="1">IF($C65="","",INDEX(Dane!$D$2:$D$1000,MATCH($C65,Dane!$R$2:$R$1000,0)))</f>
        <v/>
      </c>
      <c r="B65" t="str">
        <f t="shared" ca="1" si="2"/>
        <v/>
      </c>
      <c r="C65" t="str">
        <f ca="1">IFERROR(_xludf.AGGREGATE(14,6,Dane!$R$2:$R$1000/((Dane!$A$2:$A$1000=$B$2)*(Dane!$B$2:$B$1000=$B$3)),ROWS($C$27:C65)),"")</f>
        <v/>
      </c>
    </row>
    <row r="66" spans="1:3" x14ac:dyDescent="0.3">
      <c r="A66" t="str">
        <f ca="1">IF($C66="","",INDEX(Dane!$D$2:$D$1000,MATCH($C66,Dane!$R$2:$R$1000,0)))</f>
        <v/>
      </c>
      <c r="B66" t="str">
        <f t="shared" ca="1" si="2"/>
        <v/>
      </c>
      <c r="C66" t="str">
        <f ca="1">IFERROR(_xludf.AGGREGATE(14,6,Dane!$R$2:$R$1000/((Dane!$A$2:$A$1000=$B$2)*(Dane!$B$2:$B$1000=$B$3)),ROWS($C$27:C66)),"")</f>
        <v/>
      </c>
    </row>
    <row r="67" spans="1:3" x14ac:dyDescent="0.3">
      <c r="A67" t="str">
        <f ca="1">IF($C67="","",INDEX(Dane!$D$2:$D$1000,MATCH($C67,Dane!$R$2:$R$1000,0)))</f>
        <v/>
      </c>
      <c r="B67" t="str">
        <f t="shared" ca="1" si="2"/>
        <v/>
      </c>
      <c r="C67" t="str">
        <f ca="1">IFERROR(_xludf.AGGREGATE(14,6,Dane!$R$2:$R$1000/((Dane!$A$2:$A$1000=$B$2)*(Dane!$B$2:$B$1000=$B$3)),ROWS($C$27:C67)),"")</f>
        <v/>
      </c>
    </row>
    <row r="68" spans="1:3" x14ac:dyDescent="0.3">
      <c r="A68" t="str">
        <f ca="1">IF($C68="","",INDEX(Dane!$D$2:$D$1000,MATCH($C68,Dane!$R$2:$R$1000,0)))</f>
        <v/>
      </c>
      <c r="B68" t="str">
        <f t="shared" ca="1" si="2"/>
        <v/>
      </c>
      <c r="C68" t="str">
        <f ca="1">IFERROR(_xludf.AGGREGATE(14,6,Dane!$R$2:$R$1000/((Dane!$A$2:$A$1000=$B$2)*(Dane!$B$2:$B$1000=$B$3)),ROWS($C$27:C68)),"")</f>
        <v/>
      </c>
    </row>
    <row r="69" spans="1:3" x14ac:dyDescent="0.3">
      <c r="A69" t="str">
        <f ca="1">IF($C69="","",INDEX(Dane!$D$2:$D$1000,MATCH($C69,Dane!$R$2:$R$1000,0)))</f>
        <v/>
      </c>
      <c r="B69" t="str">
        <f t="shared" ca="1" si="2"/>
        <v/>
      </c>
      <c r="C69" t="str">
        <f ca="1">IFERROR(_xludf.AGGREGATE(14,6,Dane!$R$2:$R$1000/((Dane!$A$2:$A$1000=$B$2)*(Dane!$B$2:$B$1000=$B$3)),ROWS($C$27:C69)),"")</f>
        <v/>
      </c>
    </row>
    <row r="70" spans="1:3" x14ac:dyDescent="0.3">
      <c r="A70" t="str">
        <f ca="1">IF($C70="","",INDEX(Dane!$D$2:$D$1000,MATCH($C70,Dane!$R$2:$R$1000,0)))</f>
        <v/>
      </c>
      <c r="B70" t="str">
        <f t="shared" ca="1" si="2"/>
        <v/>
      </c>
      <c r="C70" t="str">
        <f ca="1">IFERROR(_xludf.AGGREGATE(14,6,Dane!$R$2:$R$1000/((Dane!$A$2:$A$1000=$B$2)*(Dane!$B$2:$B$1000=$B$3)),ROWS($C$27:C70)),"")</f>
        <v/>
      </c>
    </row>
    <row r="71" spans="1:3" x14ac:dyDescent="0.3">
      <c r="A71" t="str">
        <f ca="1">IF($C71="","",INDEX(Dane!$D$2:$D$1000,MATCH($C71,Dane!$R$2:$R$1000,0)))</f>
        <v/>
      </c>
      <c r="B71" t="str">
        <f t="shared" ca="1" si="2"/>
        <v/>
      </c>
      <c r="C71" t="str">
        <f ca="1">IFERROR(_xludf.AGGREGATE(14,6,Dane!$R$2:$R$1000/((Dane!$A$2:$A$1000=$B$2)*(Dane!$B$2:$B$1000=$B$3)),ROWS($C$27:C71)),"")</f>
        <v/>
      </c>
    </row>
    <row r="72" spans="1:3" x14ac:dyDescent="0.3">
      <c r="A72" t="str">
        <f ca="1">IF($C72="","",INDEX(Dane!$D$2:$D$1000,MATCH($C72,Dane!$R$2:$R$1000,0)))</f>
        <v/>
      </c>
      <c r="B72" t="str">
        <f t="shared" ca="1" si="2"/>
        <v/>
      </c>
      <c r="C72" t="str">
        <f ca="1">IFERROR(_xludf.AGGREGATE(14,6,Dane!$R$2:$R$1000/((Dane!$A$2:$A$1000=$B$2)*(Dane!$B$2:$B$1000=$B$3)),ROWS($C$27:C72)),"")</f>
        <v/>
      </c>
    </row>
    <row r="73" spans="1:3" x14ac:dyDescent="0.3">
      <c r="A73" t="str">
        <f ca="1">IF($C73="","",INDEX(Dane!$D$2:$D$1000,MATCH($C73,Dane!$R$2:$R$1000,0)))</f>
        <v/>
      </c>
      <c r="B73" t="str">
        <f t="shared" ca="1" si="2"/>
        <v/>
      </c>
      <c r="C73" t="str">
        <f ca="1">IFERROR(_xludf.AGGREGATE(14,6,Dane!$R$2:$R$1000/((Dane!$A$2:$A$1000=$B$2)*(Dane!$B$2:$B$1000=$B$3)),ROWS($C$27:C73)),"")</f>
        <v/>
      </c>
    </row>
    <row r="74" spans="1:3" x14ac:dyDescent="0.3">
      <c r="A74" t="str">
        <f ca="1">IF($C74="","",INDEX(Dane!$D$2:$D$1000,MATCH($C74,Dane!$R$2:$R$1000,0)))</f>
        <v/>
      </c>
      <c r="B74" t="str">
        <f t="shared" ca="1" si="2"/>
        <v/>
      </c>
      <c r="C74" t="str">
        <f ca="1">IFERROR(_xludf.AGGREGATE(14,6,Dane!$R$2:$R$1000/((Dane!$A$2:$A$1000=$B$2)*(Dane!$B$2:$B$1000=$B$3)),ROWS($C$27:C74)),"")</f>
        <v/>
      </c>
    </row>
    <row r="75" spans="1:3" x14ac:dyDescent="0.3">
      <c r="A75" t="str">
        <f ca="1">IF($C75="","",INDEX(Dane!$D$2:$D$1000,MATCH($C75,Dane!$R$2:$R$1000,0)))</f>
        <v/>
      </c>
      <c r="B75" t="str">
        <f t="shared" ca="1" si="2"/>
        <v/>
      </c>
      <c r="C75" t="str">
        <f ca="1">IFERROR(_xludf.AGGREGATE(14,6,Dane!$R$2:$R$1000/((Dane!$A$2:$A$1000=$B$2)*(Dane!$B$2:$B$1000=$B$3)),ROWS($C$27:C75)),"")</f>
        <v/>
      </c>
    </row>
    <row r="76" spans="1:3" x14ac:dyDescent="0.3">
      <c r="A76" t="str">
        <f ca="1">IF($C76="","",INDEX(Dane!$D$2:$D$1000,MATCH($C76,Dane!$R$2:$R$1000,0)))</f>
        <v/>
      </c>
      <c r="B76" t="str">
        <f t="shared" ca="1" si="2"/>
        <v/>
      </c>
      <c r="C76" t="str">
        <f ca="1">IFERROR(_xludf.AGGREGATE(14,6,Dane!$R$2:$R$1000/((Dane!$A$2:$A$1000=$B$2)*(Dane!$B$2:$B$1000=$B$3)),ROWS($C$27:C76)),"")</f>
        <v/>
      </c>
    </row>
  </sheetData>
  <mergeCells count="1">
    <mergeCell ref="A1:B1"/>
  </mergeCells>
  <dataValidations count="2">
    <dataValidation type="list" allowBlank="1" sqref="B2" xr:uid="{00000000-0002-0000-0100-000000000000}">
      <formula1>ListaSezonow</formula1>
    </dataValidation>
    <dataValidation type="list" allowBlank="1" sqref="B3" xr:uid="{00000000-0002-0000-0100-000001000000}">
      <formula1>ListaWojewodztw</formula1>
    </dataValidation>
  </dataValidations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17"/>
  <sheetViews>
    <sheetView workbookViewId="0">
      <selection activeCell="P14" sqref="P14"/>
    </sheetView>
  </sheetViews>
  <sheetFormatPr defaultRowHeight="14.4" x14ac:dyDescent="0.3"/>
  <cols>
    <col min="1" max="1" width="13.88671875" customWidth="1"/>
    <col min="2" max="2" width="22.33203125" customWidth="1"/>
  </cols>
  <sheetData>
    <row r="1" spans="1:2" x14ac:dyDescent="0.3">
      <c r="A1" s="13" t="s">
        <v>0</v>
      </c>
      <c r="B1" s="13" t="s">
        <v>1</v>
      </c>
    </row>
    <row r="2" spans="1:2" x14ac:dyDescent="0.3">
      <c r="A2" t="s">
        <v>2</v>
      </c>
      <c r="B2" t="s">
        <v>3</v>
      </c>
    </row>
    <row r="3" spans="1:2" x14ac:dyDescent="0.3">
      <c r="A3" t="s">
        <v>4</v>
      </c>
      <c r="B3" t="s">
        <v>5</v>
      </c>
    </row>
    <row r="4" spans="1:2" x14ac:dyDescent="0.3">
      <c r="A4" t="s">
        <v>6</v>
      </c>
      <c r="B4" t="s">
        <v>7</v>
      </c>
    </row>
    <row r="5" spans="1:2" x14ac:dyDescent="0.3">
      <c r="B5" t="s">
        <v>8</v>
      </c>
    </row>
    <row r="6" spans="1:2" x14ac:dyDescent="0.3">
      <c r="B6" t="s">
        <v>9</v>
      </c>
    </row>
    <row r="7" spans="1:2" x14ac:dyDescent="0.3">
      <c r="B7" t="s">
        <v>10</v>
      </c>
    </row>
    <row r="8" spans="1:2" x14ac:dyDescent="0.3">
      <c r="B8" t="s">
        <v>11</v>
      </c>
    </row>
    <row r="9" spans="1:2" x14ac:dyDescent="0.3">
      <c r="B9" t="s">
        <v>12</v>
      </c>
    </row>
    <row r="10" spans="1:2" x14ac:dyDescent="0.3">
      <c r="B10" t="s">
        <v>13</v>
      </c>
    </row>
    <row r="11" spans="1:2" x14ac:dyDescent="0.3">
      <c r="B11" t="s">
        <v>14</v>
      </c>
    </row>
    <row r="12" spans="1:2" x14ac:dyDescent="0.3">
      <c r="B12" t="s">
        <v>15</v>
      </c>
    </row>
    <row r="13" spans="1:2" x14ac:dyDescent="0.3">
      <c r="B13" t="s">
        <v>16</v>
      </c>
    </row>
    <row r="14" spans="1:2" x14ac:dyDescent="0.3">
      <c r="B14" t="s">
        <v>17</v>
      </c>
    </row>
    <row r="15" spans="1:2" x14ac:dyDescent="0.3">
      <c r="B15" t="s">
        <v>18</v>
      </c>
    </row>
    <row r="16" spans="1:2" x14ac:dyDescent="0.3">
      <c r="B16" t="s">
        <v>19</v>
      </c>
    </row>
    <row r="17" spans="2:2" x14ac:dyDescent="0.3">
      <c r="B17" t="s">
        <v>20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Arkusze</vt:lpstr>
      </vt:variant>
      <vt:variant>
        <vt:i4>3</vt:i4>
      </vt:variant>
      <vt:variant>
        <vt:lpstr>Nazwane zakresy</vt:lpstr>
      </vt:variant>
      <vt:variant>
        <vt:i4>2</vt:i4>
      </vt:variant>
    </vt:vector>
  </HeadingPairs>
  <TitlesOfParts>
    <vt:vector size="5" baseType="lpstr">
      <vt:lpstr>Dane</vt:lpstr>
      <vt:lpstr>Dashboard</vt:lpstr>
      <vt:lpstr>Listy</vt:lpstr>
      <vt:lpstr>ListaSezonow</vt:lpstr>
      <vt:lpstr>ListaWojewodztw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Radosław Witkowicz</cp:lastModifiedBy>
  <dcterms:created xsi:type="dcterms:W3CDTF">2026-02-23T11:22:32Z</dcterms:created>
  <dcterms:modified xsi:type="dcterms:W3CDTF">2026-02-26T22:09:42Z</dcterms:modified>
</cp:coreProperties>
</file>